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mat_dict" sheetId="2" r:id="rId6"/>
    <sheet state="visible" name="pedidos_proveedores" sheetId="3" r:id="rId7"/>
    <sheet state="visible" name="precios" sheetId="4" r:id="rId8"/>
  </sheets>
  <definedNames/>
  <calcPr/>
</workbook>
</file>

<file path=xl/sharedStrings.xml><?xml version="1.0" encoding="utf-8"?>
<sst xmlns="http://schemas.openxmlformats.org/spreadsheetml/2006/main" count="223" uniqueCount="66">
  <si>
    <t>material</t>
  </si>
  <si>
    <t>Material</t>
  </si>
  <si>
    <t>fecha</t>
  </si>
  <si>
    <t>precio</t>
  </si>
  <si>
    <t>ARMEX DE 15 x 15</t>
  </si>
  <si>
    <t>purchase_date</t>
  </si>
  <si>
    <t>received</t>
  </si>
  <si>
    <t>quantity</t>
  </si>
  <si>
    <t>unit</t>
  </si>
  <si>
    <t>minimum_stock</t>
  </si>
  <si>
    <t>ALAMBRE RECOCIDO</t>
  </si>
  <si>
    <t>ARMEX DE 15 x 20</t>
  </si>
  <si>
    <t>VARILLA CORRUGADA 3/8"</t>
  </si>
  <si>
    <t>VARILLA CORRUGADA 1/2"</t>
  </si>
  <si>
    <t>ALAMBRON</t>
  </si>
  <si>
    <t>kg</t>
  </si>
  <si>
    <t>MALLA ELECTROSOLDADA 6-6-10/10</t>
  </si>
  <si>
    <t>CLAVO PARA MADERA DE 2 1/2"</t>
  </si>
  <si>
    <t>pzs</t>
  </si>
  <si>
    <t>CLAVO P/CONCRETO 2 1/2" GALV 1 KG</t>
  </si>
  <si>
    <t>CLAVO PARA MADERA DE 4"</t>
  </si>
  <si>
    <t>m²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</si>
  <si>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</si>
  <si>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</si>
  <si>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</si>
  <si>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</si>
  <si>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</si>
  <si>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</si>
  <si>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</si>
  <si>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</si>
  <si>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</si>
  <si>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</si>
  <si>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</si>
  <si>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</si>
  <si>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</si>
  <si>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</si>
  <si>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</si>
  <si>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</si>
  <si>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</si>
  <si>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</si>
  <si>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</si>
  <si>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</si>
  <si>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</si>
  <si>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</si>
  <si>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</si>
  <si>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</si>
  <si>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</si>
  <si>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</si>
  <si>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</si>
  <si>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2026-06-20</t>
  </si>
  <si>
    <t>2026-06-22</t>
  </si>
  <si>
    <t>2026-06-23</t>
  </si>
  <si>
    <t>2026-06-24</t>
  </si>
  <si>
    <t>2026-06-25</t>
  </si>
  <si>
    <t>Proveedor (Texto)</t>
  </si>
  <si>
    <t>ID de pedido de compra</t>
  </si>
  <si>
    <t>PU Promedio</t>
  </si>
  <si>
    <t>Cantidad</t>
  </si>
  <si>
    <t>Valor facturado</t>
  </si>
  <si>
    <t>pedido</t>
  </si>
  <si>
    <t>recibido</t>
  </si>
  <si>
    <t>dias en llegar</t>
  </si>
  <si>
    <t>HOME DEPOT MEXICO S DE RL DE CV</t>
  </si>
  <si>
    <t>MEXLAM CONCEPTOS SA DE CV</t>
  </si>
  <si>
    <t>ACEROS VIMAR MEXICO SAPI DE CV</t>
  </si>
  <si>
    <t>CEMEX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</si>
</sst>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&quot;Aptos Narrow&quot;"/>
    </font>
    <font>
      <sz val="11.0"/>
      <color rgb="FF000000"/>
      <name val="Calibri"/>
      <scheme val="minor"/>
    </font>
    <font>
      <sz val="8.0"/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readingOrder="0"/>
    </xf>
    <xf borderId="0" fillId="0" fontId="1" numFmtId="164" xfId="0" applyAlignment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horizontal="center" readingOrder="0" vertical="top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2" numFmtId="3" xfId="0" applyAlignment="1" applyBorder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0" fillId="2" fontId="4" numFmtId="0" xfId="0" applyAlignment="1" applyFill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1" fillId="0" fontId="5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horizontal="right" readingOrder="0" shrinkToFit="0" vertical="bottom" wrapText="0"/>
    </xf>
    <xf borderId="1" fillId="0" fontId="2" numFmtId="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readingOrder="0" shrinkToFit="0" wrapText="0"/>
    </xf>
    <xf borderId="0" fillId="0" fontId="3" numFmtId="4" xfId="0" applyAlignment="1" applyFont="1" applyNumberFormat="1">
      <alignment horizontal="center" readingOrder="0" shrinkToFit="0" wrapText="0"/>
    </xf>
    <xf borderId="0" fillId="2" fontId="4" numFmtId="4" xfId="0" applyAlignment="1" applyFont="1" applyNumberFormat="1">
      <alignment horizontal="center" readingOrder="0" shrinkToFit="0" wrapText="0"/>
    </xf>
    <xf borderId="0" fillId="2" fontId="4" numFmtId="4" xfId="0" applyAlignment="1" applyFont="1" applyNumberForma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33.57"/>
    <col customWidth="1" min="2" max="24" width="8.71"/>
    <col customWidth="1" min="25" max="25" width="5.71"/>
    <col customWidth="1" min="26" max="39" width="8.71"/>
    <col customWidth="1" min="40" max="40" width="12.43"/>
    <col customWidth="1" min="41" max="88" width="8.71"/>
  </cols>
  <sheetData>
    <row r="1">
      <c r="A1" s="3" t="s">
        <v>0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  <c r="X1" s="3" t="s">
        <v>44</v>
      </c>
      <c r="Y1" s="3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8">
        <v>46199.0</v>
      </c>
      <c r="AI1" s="8">
        <v>46200.0</v>
      </c>
      <c r="AJ1" s="8">
        <v>46202.0</v>
      </c>
      <c r="AK1" s="8">
        <v>46203.0</v>
      </c>
      <c r="AL1" s="8">
        <v>46204.0</v>
      </c>
      <c r="AM1" s="8">
        <v>46205.0</v>
      </c>
      <c r="AN1" s="8">
        <v>46206.0</v>
      </c>
      <c r="AO1" s="8">
        <v>46207.0</v>
      </c>
      <c r="AP1" s="8">
        <v>46209.0</v>
      </c>
      <c r="AQ1" s="8">
        <v>46210.0</v>
      </c>
      <c r="AR1" s="8">
        <v>46211.0</v>
      </c>
      <c r="AS1" s="8">
        <v>46212.0</v>
      </c>
      <c r="AT1" s="8">
        <v>46213.0</v>
      </c>
      <c r="AU1" s="8">
        <v>46216.0</v>
      </c>
      <c r="AV1" s="8">
        <v>46217.0</v>
      </c>
      <c r="AW1" s="8">
        <v>46218.0</v>
      </c>
      <c r="AX1" s="8">
        <v>46219.0</v>
      </c>
      <c r="AY1" s="8">
        <v>46220.0</v>
      </c>
      <c r="AZ1" s="8">
        <v>46221.0</v>
      </c>
      <c r="BA1" s="8">
        <v>46223.0</v>
      </c>
      <c r="BB1" s="8">
        <v>46224.0</v>
      </c>
      <c r="BC1" s="8">
        <v>46225.0</v>
      </c>
      <c r="BD1" s="8">
        <v>46226.0</v>
      </c>
      <c r="BE1" s="8">
        <v>46227.0</v>
      </c>
      <c r="BF1" s="8">
        <v>46228.0</v>
      </c>
      <c r="BG1" s="8">
        <v>46230.0</v>
      </c>
      <c r="BH1" s="8">
        <v>46231.0</v>
      </c>
      <c r="BI1" s="8">
        <v>46232.0</v>
      </c>
      <c r="BJ1" s="8">
        <v>46233.0</v>
      </c>
      <c r="BK1" s="8">
        <v>46234.0</v>
      </c>
      <c r="BL1" s="8">
        <v>46235.0</v>
      </c>
      <c r="BM1" s="8">
        <v>46237.0</v>
      </c>
      <c r="BN1" s="8">
        <v>46238.0</v>
      </c>
      <c r="BO1" s="8">
        <v>46239.0</v>
      </c>
      <c r="BP1" s="8">
        <v>46240.0</v>
      </c>
      <c r="BQ1" s="8">
        <v>46241.0</v>
      </c>
      <c r="BR1" s="8">
        <v>46242.0</v>
      </c>
      <c r="BS1" s="8">
        <v>46244.0</v>
      </c>
      <c r="BT1" s="8">
        <v>46245.0</v>
      </c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</row>
    <row r="2">
      <c r="A2" s="3" t="s">
        <v>4</v>
      </c>
      <c r="B2" s="7">
        <v>551.0</v>
      </c>
      <c r="C2" s="7">
        <v>551.0</v>
      </c>
      <c r="D2" s="7">
        <v>551.0</v>
      </c>
      <c r="E2" s="7">
        <v>550.0</v>
      </c>
      <c r="F2" s="7">
        <v>536.0</v>
      </c>
      <c r="G2" s="7">
        <v>536.0</v>
      </c>
      <c r="H2" s="7">
        <v>532.0</v>
      </c>
      <c r="I2" s="7">
        <v>503.0</v>
      </c>
      <c r="J2" s="7">
        <v>501.0</v>
      </c>
      <c r="K2" s="7">
        <v>501.0</v>
      </c>
      <c r="L2" s="7">
        <v>481.0</v>
      </c>
      <c r="M2" s="7">
        <v>480.0</v>
      </c>
      <c r="N2" s="7">
        <v>457.0</v>
      </c>
      <c r="O2" s="7">
        <v>414.0</v>
      </c>
      <c r="P2" s="7">
        <v>413.0</v>
      </c>
      <c r="Q2" s="7">
        <v>402.0</v>
      </c>
      <c r="R2" s="7">
        <v>401.0</v>
      </c>
      <c r="S2" s="7">
        <v>397.0</v>
      </c>
      <c r="T2" s="7">
        <v>388.0</v>
      </c>
      <c r="U2" s="7">
        <v>375.0</v>
      </c>
      <c r="V2" s="7">
        <v>373.0</v>
      </c>
      <c r="W2" s="7">
        <v>372.0</v>
      </c>
      <c r="X2" s="7">
        <v>358.0</v>
      </c>
      <c r="Y2" s="7">
        <v>356.0</v>
      </c>
      <c r="Z2" s="7">
        <v>333.0</v>
      </c>
      <c r="AA2" s="7">
        <v>330.0</v>
      </c>
      <c r="AB2" s="7">
        <v>328.0</v>
      </c>
      <c r="AC2" s="7">
        <v>325.0</v>
      </c>
      <c r="AD2" s="7">
        <v>325.0</v>
      </c>
      <c r="AE2" s="7">
        <v>305.0</v>
      </c>
      <c r="AF2" s="7">
        <v>295.0</v>
      </c>
      <c r="AG2" s="7">
        <v>295.0</v>
      </c>
      <c r="AH2" s="1">
        <v>291.0</v>
      </c>
      <c r="AI2" s="1">
        <v>287.0</v>
      </c>
      <c r="AJ2" s="1">
        <v>284.0</v>
      </c>
      <c r="AK2" s="1">
        <v>269.0</v>
      </c>
      <c r="AL2" s="1">
        <v>259.0</v>
      </c>
      <c r="AM2" s="13">
        <v>224.0</v>
      </c>
      <c r="AN2" s="13">
        <v>224.0</v>
      </c>
      <c r="AO2" s="15">
        <v>220.0</v>
      </c>
      <c r="AP2" s="15">
        <v>220.0</v>
      </c>
      <c r="AQ2" s="15">
        <v>215.0</v>
      </c>
      <c r="AR2" s="15">
        <v>195.0</v>
      </c>
      <c r="AS2" s="15">
        <v>177.0</v>
      </c>
      <c r="AT2" s="15">
        <v>171.0</v>
      </c>
      <c r="AU2" s="15">
        <v>156.0</v>
      </c>
      <c r="AV2" s="15">
        <v>156.0</v>
      </c>
      <c r="AW2" s="15">
        <v>116.0</v>
      </c>
      <c r="AX2" s="15">
        <v>108.0</v>
      </c>
      <c r="AY2" s="15">
        <v>108.0</v>
      </c>
      <c r="AZ2" s="16">
        <v>85.0</v>
      </c>
      <c r="BA2" s="15">
        <v>85.0</v>
      </c>
      <c r="BB2" s="13">
        <v>77.0</v>
      </c>
      <c r="BC2" s="15">
        <v>71.0</v>
      </c>
      <c r="BD2" s="15">
        <v>59.0</v>
      </c>
      <c r="BE2" s="15">
        <v>59.0</v>
      </c>
      <c r="BF2" s="15">
        <v>138.0</v>
      </c>
      <c r="BG2" s="15">
        <v>117.0</v>
      </c>
      <c r="BH2" s="15">
        <v>107.0</v>
      </c>
      <c r="BI2" s="15">
        <v>107.0</v>
      </c>
      <c r="BJ2" s="15">
        <v>92.0</v>
      </c>
      <c r="BK2" s="15">
        <v>82.0</v>
      </c>
      <c r="BL2" s="15">
        <v>72.0</v>
      </c>
      <c r="BM2" s="15">
        <v>72.0</v>
      </c>
      <c r="BN2" s="15">
        <v>72.0</v>
      </c>
      <c r="BO2" s="15">
        <v>59.0</v>
      </c>
      <c r="BP2" s="15">
        <v>53.0</v>
      </c>
      <c r="BQ2" s="15">
        <v>53.0</v>
      </c>
      <c r="BR2" s="15">
        <v>41.0</v>
      </c>
      <c r="BS2" s="15">
        <v>41.0</v>
      </c>
      <c r="BT2" s="15">
        <v>16.0</v>
      </c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</row>
    <row r="3">
      <c r="A3" s="3" t="s">
        <v>11</v>
      </c>
      <c r="B3" s="7">
        <v>9.0</v>
      </c>
      <c r="C3" s="7">
        <v>9.0</v>
      </c>
      <c r="D3" s="7">
        <v>9.0</v>
      </c>
      <c r="E3" s="7">
        <v>9.0</v>
      </c>
      <c r="F3" s="7">
        <v>7.0</v>
      </c>
      <c r="G3" s="7">
        <v>7.0</v>
      </c>
      <c r="H3" s="7">
        <v>7.0</v>
      </c>
      <c r="I3" s="7">
        <v>7.0</v>
      </c>
      <c r="J3" s="7">
        <v>507.0</v>
      </c>
      <c r="K3" s="7">
        <v>469.0</v>
      </c>
      <c r="L3" s="7">
        <v>424.0</v>
      </c>
      <c r="M3" s="7">
        <v>418.0</v>
      </c>
      <c r="N3" s="7">
        <v>377.0</v>
      </c>
      <c r="O3" s="7">
        <v>344.0</v>
      </c>
      <c r="P3" s="7">
        <v>321.0</v>
      </c>
      <c r="Q3" s="7">
        <v>261.0</v>
      </c>
      <c r="R3" s="7">
        <v>253.0</v>
      </c>
      <c r="S3" s="7">
        <v>211.0</v>
      </c>
      <c r="T3" s="7">
        <v>191.0</v>
      </c>
      <c r="U3" s="7">
        <v>172.0</v>
      </c>
      <c r="V3" s="7">
        <v>163.0</v>
      </c>
      <c r="W3" s="7">
        <v>153.0</v>
      </c>
      <c r="X3" s="7">
        <v>305.0</v>
      </c>
      <c r="Y3" s="7">
        <v>303.0</v>
      </c>
      <c r="Z3" s="7">
        <v>262.0</v>
      </c>
      <c r="AA3" s="7">
        <v>258.0</v>
      </c>
      <c r="AB3" s="7">
        <v>235.0</v>
      </c>
      <c r="AC3" s="7">
        <v>203.0</v>
      </c>
      <c r="AD3" s="7">
        <v>188.0</v>
      </c>
      <c r="AE3" s="7">
        <v>178.0</v>
      </c>
      <c r="AF3" s="7">
        <v>150.0</v>
      </c>
      <c r="AG3" s="7">
        <v>110.0</v>
      </c>
      <c r="AH3" s="1">
        <v>90.0</v>
      </c>
      <c r="AI3" s="1">
        <v>82.0</v>
      </c>
      <c r="AJ3" s="1">
        <v>80.0</v>
      </c>
      <c r="AK3" s="1">
        <v>80.0</v>
      </c>
      <c r="AL3" s="1">
        <v>50.0</v>
      </c>
      <c r="AM3" s="13">
        <v>40.0</v>
      </c>
      <c r="AN3" s="13">
        <v>179.0</v>
      </c>
      <c r="AO3" s="15">
        <v>156.0</v>
      </c>
      <c r="AP3" s="15">
        <v>156.0</v>
      </c>
      <c r="AQ3" s="15">
        <v>151.0</v>
      </c>
      <c r="AR3" s="15">
        <v>107.0</v>
      </c>
      <c r="AS3" s="15">
        <v>79.0</v>
      </c>
      <c r="AT3" s="15">
        <v>79.0</v>
      </c>
      <c r="AU3" s="15">
        <v>151.0</v>
      </c>
      <c r="AV3" s="15">
        <v>139.0</v>
      </c>
      <c r="AW3" s="15">
        <v>114.0</v>
      </c>
      <c r="AX3" s="15">
        <v>91.0</v>
      </c>
      <c r="AY3" s="15">
        <v>91.0</v>
      </c>
      <c r="AZ3" s="16">
        <v>62.0</v>
      </c>
      <c r="BA3" s="15">
        <v>122.0</v>
      </c>
      <c r="BB3" s="13">
        <v>91.0</v>
      </c>
      <c r="BC3" s="15">
        <v>45.0</v>
      </c>
      <c r="BD3" s="15">
        <v>35.0</v>
      </c>
      <c r="BE3" s="15">
        <v>27.0</v>
      </c>
      <c r="BF3" s="15">
        <v>14.0</v>
      </c>
      <c r="BG3" s="15">
        <v>7.0</v>
      </c>
      <c r="BH3" s="15">
        <v>7.0</v>
      </c>
      <c r="BI3" s="15">
        <v>7.0</v>
      </c>
      <c r="BJ3" s="15">
        <v>223.0</v>
      </c>
      <c r="BK3" s="15">
        <v>189.0</v>
      </c>
      <c r="BL3" s="15">
        <v>189.0</v>
      </c>
      <c r="BM3" s="15">
        <v>189.0</v>
      </c>
      <c r="BN3" s="15">
        <v>189.0</v>
      </c>
      <c r="BO3" s="15">
        <v>170.0</v>
      </c>
      <c r="BP3" s="15">
        <v>170.0</v>
      </c>
      <c r="BQ3" s="15">
        <v>170.0</v>
      </c>
      <c r="BR3" s="15">
        <v>112.0</v>
      </c>
      <c r="BS3" s="15">
        <v>112.0</v>
      </c>
      <c r="BT3" s="15">
        <v>61.0</v>
      </c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</row>
    <row r="4">
      <c r="A4" s="3" t="s">
        <v>12</v>
      </c>
      <c r="B4" s="7">
        <v>1148.0</v>
      </c>
      <c r="C4" s="7">
        <v>1121.0</v>
      </c>
      <c r="D4" s="7">
        <v>1054.0</v>
      </c>
      <c r="E4" s="7">
        <v>993.0</v>
      </c>
      <c r="F4" s="7">
        <v>966.0</v>
      </c>
      <c r="G4" s="7">
        <v>966.0</v>
      </c>
      <c r="H4" s="7">
        <v>942.0</v>
      </c>
      <c r="I4" s="7">
        <v>1587.0</v>
      </c>
      <c r="J4" s="7">
        <v>1532.0</v>
      </c>
      <c r="K4" s="7">
        <v>1401.0</v>
      </c>
      <c r="L4" s="7">
        <v>1351.0</v>
      </c>
      <c r="M4" s="7">
        <v>1347.0</v>
      </c>
      <c r="N4" s="7">
        <v>1261.0</v>
      </c>
      <c r="O4" s="7">
        <v>1260.0</v>
      </c>
      <c r="P4" s="7">
        <v>1250.0</v>
      </c>
      <c r="Q4" s="7">
        <v>1217.0</v>
      </c>
      <c r="R4" s="7">
        <v>1202.0</v>
      </c>
      <c r="S4" s="7">
        <v>1185.0</v>
      </c>
      <c r="T4" s="7">
        <v>1140.0</v>
      </c>
      <c r="U4" s="7">
        <v>1088.0</v>
      </c>
      <c r="V4" s="7">
        <v>989.0</v>
      </c>
      <c r="W4" s="7">
        <v>974.0</v>
      </c>
      <c r="X4" s="7">
        <v>943.0</v>
      </c>
      <c r="Y4" s="7">
        <v>918.0</v>
      </c>
      <c r="Z4" s="7">
        <v>782.0</v>
      </c>
      <c r="AA4" s="7">
        <v>778.0</v>
      </c>
      <c r="AB4" s="7">
        <v>755.0</v>
      </c>
      <c r="AC4" s="7">
        <v>729.0</v>
      </c>
      <c r="AD4" s="7">
        <v>709.0</v>
      </c>
      <c r="AE4" s="7">
        <v>699.0</v>
      </c>
      <c r="AF4" s="7">
        <v>684.0</v>
      </c>
      <c r="AG4" s="7">
        <v>645.0</v>
      </c>
      <c r="AH4" s="1">
        <v>633.0</v>
      </c>
      <c r="AI4" s="1">
        <v>631.0</v>
      </c>
      <c r="AJ4" s="1">
        <v>459.0</v>
      </c>
      <c r="AK4" s="1">
        <v>459.0</v>
      </c>
      <c r="AL4" s="1">
        <v>449.0</v>
      </c>
      <c r="AM4" s="13">
        <v>384.0</v>
      </c>
      <c r="AN4" s="13">
        <v>327.0</v>
      </c>
      <c r="AO4" s="15">
        <v>275.0</v>
      </c>
      <c r="AP4" s="15">
        <v>275.0</v>
      </c>
      <c r="AQ4" s="15">
        <v>251.0</v>
      </c>
      <c r="AR4" s="15">
        <v>221.0</v>
      </c>
      <c r="AS4" s="15">
        <v>80.0</v>
      </c>
      <c r="AT4" s="15">
        <v>175.0</v>
      </c>
      <c r="AU4" s="15">
        <v>440.0</v>
      </c>
      <c r="AV4" s="15">
        <v>434.0</v>
      </c>
      <c r="AW4" s="15">
        <v>336.0</v>
      </c>
      <c r="AX4" s="15">
        <v>285.0</v>
      </c>
      <c r="AY4" s="15">
        <v>239.0</v>
      </c>
      <c r="AZ4" s="16">
        <v>193.0</v>
      </c>
      <c r="BA4" s="15">
        <v>162.0</v>
      </c>
      <c r="BB4" s="13">
        <v>147.0</v>
      </c>
      <c r="BC4" s="15">
        <v>119.0</v>
      </c>
      <c r="BD4" s="15">
        <v>50.0</v>
      </c>
      <c r="BE4" s="15">
        <v>43.0</v>
      </c>
      <c r="BF4" s="15">
        <v>322.0</v>
      </c>
      <c r="BG4" s="15">
        <v>163.0</v>
      </c>
      <c r="BH4" s="15">
        <v>134.0</v>
      </c>
      <c r="BI4" s="15">
        <v>122.0</v>
      </c>
      <c r="BJ4" s="15">
        <v>410.0</v>
      </c>
      <c r="BK4" s="15">
        <v>335.0</v>
      </c>
      <c r="BL4" s="15">
        <v>251.0</v>
      </c>
      <c r="BM4" s="15">
        <v>251.0</v>
      </c>
      <c r="BN4" s="15">
        <v>171.0</v>
      </c>
      <c r="BO4" s="15">
        <v>161.0</v>
      </c>
      <c r="BP4" s="15">
        <v>64.0</v>
      </c>
      <c r="BQ4" s="15">
        <v>34.0</v>
      </c>
      <c r="BR4" s="15">
        <v>19.0</v>
      </c>
      <c r="BS4" s="15">
        <v>469.0</v>
      </c>
      <c r="BT4" s="15">
        <v>440.0</v>
      </c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</row>
    <row r="5">
      <c r="A5" s="3" t="s">
        <v>13</v>
      </c>
      <c r="B5" s="7">
        <v>511.0</v>
      </c>
      <c r="C5" s="7">
        <v>511.0</v>
      </c>
      <c r="D5" s="7">
        <v>505.0</v>
      </c>
      <c r="E5" s="7">
        <v>505.0</v>
      </c>
      <c r="F5" s="7">
        <v>505.0</v>
      </c>
      <c r="G5" s="7">
        <v>421.0</v>
      </c>
      <c r="H5" s="7">
        <v>421.0</v>
      </c>
      <c r="I5" s="7">
        <v>417.0</v>
      </c>
      <c r="J5" s="7">
        <v>389.0</v>
      </c>
      <c r="K5" s="7">
        <v>365.0</v>
      </c>
      <c r="L5" s="7">
        <v>314.0</v>
      </c>
      <c r="M5" s="7">
        <v>310.0</v>
      </c>
      <c r="N5" s="7">
        <v>293.0</v>
      </c>
      <c r="O5" s="7">
        <v>293.0</v>
      </c>
      <c r="P5" s="7">
        <v>293.0</v>
      </c>
      <c r="Q5" s="7">
        <v>272.0</v>
      </c>
      <c r="R5" s="7">
        <v>272.0</v>
      </c>
      <c r="S5" s="7">
        <v>272.0</v>
      </c>
      <c r="T5" s="7">
        <v>272.0</v>
      </c>
      <c r="U5" s="7">
        <v>197.0</v>
      </c>
      <c r="V5" s="7">
        <v>195.0</v>
      </c>
      <c r="W5" s="7">
        <v>195.0</v>
      </c>
      <c r="X5" s="7">
        <v>195.0</v>
      </c>
      <c r="Y5" s="7">
        <v>195.0</v>
      </c>
      <c r="Z5" s="7">
        <v>179.0</v>
      </c>
      <c r="AA5" s="7">
        <v>119.0</v>
      </c>
      <c r="AB5" s="7">
        <v>602.0</v>
      </c>
      <c r="AC5" s="7">
        <v>577.0</v>
      </c>
      <c r="AD5" s="7">
        <v>577.0</v>
      </c>
      <c r="AE5" s="7">
        <v>557.0</v>
      </c>
      <c r="AF5" s="7">
        <v>557.0</v>
      </c>
      <c r="AG5" s="7">
        <v>512.0</v>
      </c>
      <c r="AH5" s="1">
        <v>492.0</v>
      </c>
      <c r="AI5" s="1">
        <v>492.0</v>
      </c>
      <c r="AJ5" s="1">
        <v>492.0</v>
      </c>
      <c r="AK5" s="1">
        <v>462.0</v>
      </c>
      <c r="AL5" s="1">
        <v>462.0</v>
      </c>
      <c r="AM5" s="13">
        <v>440.0</v>
      </c>
      <c r="AN5" s="13">
        <v>440.0</v>
      </c>
      <c r="AO5" s="15">
        <v>394.0</v>
      </c>
      <c r="AP5" s="15">
        <v>394.0</v>
      </c>
      <c r="AQ5" s="15">
        <v>394.0</v>
      </c>
      <c r="AR5" s="15">
        <v>374.0</v>
      </c>
      <c r="AS5" s="15">
        <v>374.0</v>
      </c>
      <c r="AT5" s="15">
        <v>279.0</v>
      </c>
      <c r="AU5" s="15">
        <v>254.0</v>
      </c>
      <c r="AV5" s="15">
        <v>253.0</v>
      </c>
      <c r="AW5" s="15">
        <v>215.0</v>
      </c>
      <c r="AX5" s="15">
        <v>215.0</v>
      </c>
      <c r="AY5" s="15">
        <v>213.0</v>
      </c>
      <c r="AZ5" s="16">
        <v>213.0</v>
      </c>
      <c r="BA5" s="15">
        <v>213.0</v>
      </c>
      <c r="BB5" s="13">
        <v>193.0</v>
      </c>
      <c r="BC5" s="15">
        <v>193.0</v>
      </c>
      <c r="BD5" s="15">
        <v>193.0</v>
      </c>
      <c r="BE5" s="15">
        <v>193.0</v>
      </c>
      <c r="BF5" s="15">
        <v>193.0</v>
      </c>
      <c r="BG5" s="15">
        <v>109.0</v>
      </c>
      <c r="BH5" s="15">
        <v>103.0</v>
      </c>
      <c r="BI5" s="15">
        <v>53.0</v>
      </c>
      <c r="BJ5" s="15">
        <v>173.0</v>
      </c>
      <c r="BK5" s="15">
        <v>171.0</v>
      </c>
      <c r="BL5" s="15">
        <v>170.0</v>
      </c>
      <c r="BM5" s="15">
        <v>170.0</v>
      </c>
      <c r="BN5" s="15">
        <v>170.0</v>
      </c>
      <c r="BO5" s="15">
        <v>173.0</v>
      </c>
      <c r="BP5" s="15">
        <v>168.0</v>
      </c>
      <c r="BQ5" s="15">
        <v>138.0</v>
      </c>
      <c r="BR5" s="15">
        <v>120.0</v>
      </c>
      <c r="BS5" s="15">
        <v>288.0</v>
      </c>
      <c r="BT5" s="15">
        <v>288.0</v>
      </c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</row>
    <row r="6">
      <c r="A6" s="3" t="s">
        <v>10</v>
      </c>
      <c r="B6" s="7">
        <v>1924.63</v>
      </c>
      <c r="C6" s="7">
        <v>1924.63</v>
      </c>
      <c r="D6" s="7">
        <v>1674.63</v>
      </c>
      <c r="E6" s="7">
        <v>1674.63</v>
      </c>
      <c r="F6" s="7">
        <v>1667.63</v>
      </c>
      <c r="G6" s="7">
        <v>1617.63</v>
      </c>
      <c r="H6" s="7">
        <v>1615.63</v>
      </c>
      <c r="I6" s="7">
        <v>2085.63</v>
      </c>
      <c r="J6" s="7">
        <v>2066.63</v>
      </c>
      <c r="K6" s="7">
        <v>1621.63</v>
      </c>
      <c r="L6" s="7">
        <v>1617.63</v>
      </c>
      <c r="M6" s="7">
        <v>1899.37</v>
      </c>
      <c r="N6" s="7">
        <v>1883.37</v>
      </c>
      <c r="O6" s="7">
        <v>1882.37</v>
      </c>
      <c r="P6" s="7">
        <v>1830.37</v>
      </c>
      <c r="Q6" s="7">
        <v>1814.37</v>
      </c>
      <c r="R6" s="7">
        <v>1809.37</v>
      </c>
      <c r="S6" s="7">
        <v>1809.37</v>
      </c>
      <c r="T6" s="7">
        <v>1787.37</v>
      </c>
      <c r="U6" s="7">
        <v>1732.37</v>
      </c>
      <c r="V6" s="7">
        <v>1664.37</v>
      </c>
      <c r="W6" s="7">
        <v>1651.37</v>
      </c>
      <c r="X6" s="7">
        <v>2051.37</v>
      </c>
      <c r="Y6" s="7">
        <v>1951.37</v>
      </c>
      <c r="Z6" s="7">
        <v>1846.37</v>
      </c>
      <c r="AA6" s="7">
        <v>1842.37</v>
      </c>
      <c r="AB6" s="7">
        <v>1772.37</v>
      </c>
      <c r="AC6" s="7">
        <v>1667.37</v>
      </c>
      <c r="AD6" s="7">
        <v>1665.37</v>
      </c>
      <c r="AE6" s="7">
        <v>1555.37</v>
      </c>
      <c r="AF6" s="7">
        <v>1505.37</v>
      </c>
      <c r="AG6" s="7">
        <v>1383.37</v>
      </c>
      <c r="AH6" s="1">
        <v>1297.37</v>
      </c>
      <c r="AI6" s="1">
        <v>1287.37</v>
      </c>
      <c r="AJ6" s="1">
        <v>1134.37</v>
      </c>
      <c r="AK6" s="1">
        <v>1034.37</v>
      </c>
      <c r="AL6" s="1">
        <v>924.37</v>
      </c>
      <c r="AM6" s="13">
        <v>912.37</v>
      </c>
      <c r="AN6" s="13">
        <v>899.37</v>
      </c>
      <c r="AO6" s="15">
        <v>892.37</v>
      </c>
      <c r="AP6" s="15">
        <v>592.37</v>
      </c>
      <c r="AQ6" s="15">
        <v>587.37</v>
      </c>
      <c r="AR6" s="15">
        <v>587.37</v>
      </c>
      <c r="AS6" s="15">
        <v>587.37</v>
      </c>
      <c r="AT6" s="15">
        <v>382.37</v>
      </c>
      <c r="AU6" s="15">
        <v>372.37</v>
      </c>
      <c r="AV6" s="15">
        <v>357.37</v>
      </c>
      <c r="AW6" s="15">
        <v>207.37</v>
      </c>
      <c r="AX6" s="15">
        <v>203.37</v>
      </c>
      <c r="AY6" s="15">
        <v>174.37</v>
      </c>
      <c r="AZ6" s="16">
        <v>148.37</v>
      </c>
      <c r="BA6" s="15">
        <v>345.37</v>
      </c>
      <c r="BB6" s="13">
        <v>305.37</v>
      </c>
      <c r="BC6" s="15">
        <v>295.37</v>
      </c>
      <c r="BD6" s="15">
        <v>283.37</v>
      </c>
      <c r="BE6" s="15">
        <v>278.37</v>
      </c>
      <c r="BF6" s="15">
        <v>259.37</v>
      </c>
      <c r="BG6" s="15">
        <v>155.37</v>
      </c>
      <c r="BH6" s="15">
        <v>155.37</v>
      </c>
      <c r="BI6" s="15">
        <v>145.37</v>
      </c>
      <c r="BJ6" s="15">
        <v>230.37</v>
      </c>
      <c r="BK6" s="15">
        <v>174.37</v>
      </c>
      <c r="BL6" s="15">
        <v>144.37</v>
      </c>
      <c r="BM6" s="15">
        <v>144.37</v>
      </c>
      <c r="BN6" s="15">
        <v>94.37</v>
      </c>
      <c r="BO6" s="15">
        <v>52.37</v>
      </c>
      <c r="BP6" s="15">
        <v>32.37</v>
      </c>
      <c r="BQ6" s="15">
        <v>30.37</v>
      </c>
      <c r="BR6" s="15">
        <v>0.0</v>
      </c>
      <c r="BS6" s="15">
        <v>250.0</v>
      </c>
      <c r="BT6" s="15">
        <v>205.0</v>
      </c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</row>
    <row r="7">
      <c r="A7" s="3" t="s">
        <v>14</v>
      </c>
      <c r="B7" s="7">
        <v>1108.0</v>
      </c>
      <c r="C7" s="7">
        <v>1108.0</v>
      </c>
      <c r="D7" s="7">
        <v>1108.0</v>
      </c>
      <c r="E7" s="7">
        <v>1108.0</v>
      </c>
      <c r="F7" s="7">
        <v>1108.0</v>
      </c>
      <c r="G7" s="7">
        <v>1008.0</v>
      </c>
      <c r="H7" s="7">
        <v>1008.0</v>
      </c>
      <c r="I7" s="7">
        <v>1938.0</v>
      </c>
      <c r="J7" s="7">
        <v>1888.0</v>
      </c>
      <c r="K7" s="7">
        <v>1572.0</v>
      </c>
      <c r="L7" s="7">
        <v>1572.0</v>
      </c>
      <c r="M7" s="7">
        <v>1747.5</v>
      </c>
      <c r="N7" s="7">
        <v>1747.5</v>
      </c>
      <c r="O7" s="7">
        <v>1647.5</v>
      </c>
      <c r="P7" s="7">
        <v>1647.5</v>
      </c>
      <c r="Q7" s="7">
        <v>1647.5</v>
      </c>
      <c r="R7" s="7">
        <v>1647.5</v>
      </c>
      <c r="S7" s="7">
        <v>1647.5</v>
      </c>
      <c r="T7" s="7">
        <v>1647.5</v>
      </c>
      <c r="U7" s="7">
        <v>1547.5</v>
      </c>
      <c r="V7" s="7">
        <v>1449.5</v>
      </c>
      <c r="W7" s="7">
        <v>1449.5</v>
      </c>
      <c r="X7" s="7">
        <v>2449.5</v>
      </c>
      <c r="Y7" s="7">
        <v>2019.5</v>
      </c>
      <c r="Z7" s="7">
        <v>1739.5</v>
      </c>
      <c r="AA7" s="7">
        <v>1659.5</v>
      </c>
      <c r="AB7" s="7">
        <v>1539.5</v>
      </c>
      <c r="AC7" s="7">
        <v>1439.5</v>
      </c>
      <c r="AD7" s="7">
        <v>1439.5</v>
      </c>
      <c r="AE7" s="7">
        <v>1439.5</v>
      </c>
      <c r="AF7" s="7">
        <v>1439.5</v>
      </c>
      <c r="AG7" s="7">
        <v>1339.5</v>
      </c>
      <c r="AH7" s="1">
        <v>1324.5</v>
      </c>
      <c r="AI7" s="1">
        <v>1324.5</v>
      </c>
      <c r="AJ7" s="1">
        <v>1319.5</v>
      </c>
      <c r="AK7" s="1">
        <v>1219.5</v>
      </c>
      <c r="AL7" s="1">
        <v>1219.5</v>
      </c>
      <c r="AM7" s="21">
        <v>1219.5</v>
      </c>
      <c r="AN7" s="21">
        <v>819.5</v>
      </c>
      <c r="AO7" s="22">
        <v>799.5</v>
      </c>
      <c r="AP7" s="22">
        <v>799.5</v>
      </c>
      <c r="AQ7" s="22">
        <v>799.5</v>
      </c>
      <c r="AR7" s="22">
        <v>799.5</v>
      </c>
      <c r="AS7" s="22">
        <v>799.5</v>
      </c>
      <c r="AT7" s="22">
        <v>799.5</v>
      </c>
      <c r="AU7" s="22">
        <v>799.5</v>
      </c>
      <c r="AV7" s="22">
        <v>799.5</v>
      </c>
      <c r="AW7" s="22">
        <v>699.5</v>
      </c>
      <c r="AX7" s="22">
        <v>699.5</v>
      </c>
      <c r="AY7" s="22">
        <v>684.5</v>
      </c>
      <c r="AZ7" s="23">
        <v>604.5</v>
      </c>
      <c r="BA7" s="22">
        <v>604.5</v>
      </c>
      <c r="BB7" s="21">
        <v>604.5</v>
      </c>
      <c r="BC7" s="22">
        <v>404.5</v>
      </c>
      <c r="BD7" s="22">
        <v>304.5</v>
      </c>
      <c r="BE7" s="22">
        <v>304.5</v>
      </c>
      <c r="BF7" s="22">
        <v>304.5</v>
      </c>
      <c r="BG7" s="22">
        <v>204.5</v>
      </c>
      <c r="BH7" s="22">
        <v>204.5</v>
      </c>
      <c r="BI7" s="22">
        <v>154.5</v>
      </c>
      <c r="BJ7" s="22">
        <v>654.5</v>
      </c>
      <c r="BK7" s="22">
        <v>654.5</v>
      </c>
      <c r="BL7" s="22">
        <v>644.5</v>
      </c>
      <c r="BM7" s="22">
        <v>644.5</v>
      </c>
      <c r="BN7" s="22">
        <v>644.5</v>
      </c>
      <c r="BO7" s="22">
        <v>664.0</v>
      </c>
      <c r="BP7" s="22">
        <v>629.0</v>
      </c>
      <c r="BQ7" s="22">
        <v>579.0</v>
      </c>
      <c r="BR7" s="22">
        <v>429.0</v>
      </c>
      <c r="BS7" s="22">
        <v>429.0</v>
      </c>
      <c r="BT7" s="22">
        <v>429.0</v>
      </c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</row>
    <row r="8">
      <c r="A8" s="3" t="s">
        <v>16</v>
      </c>
      <c r="B8" s="7">
        <v>6160.7</v>
      </c>
      <c r="C8" s="7">
        <v>6132.7</v>
      </c>
      <c r="D8" s="7">
        <v>5594.7</v>
      </c>
      <c r="E8" s="7">
        <v>5551.7</v>
      </c>
      <c r="F8" s="7">
        <v>5442.7</v>
      </c>
      <c r="G8" s="7">
        <v>5442.7</v>
      </c>
      <c r="H8" s="7">
        <v>5407.7</v>
      </c>
      <c r="I8" s="7">
        <v>5126.7</v>
      </c>
      <c r="J8" s="7">
        <v>5126.7</v>
      </c>
      <c r="K8" s="7">
        <v>4826.7</v>
      </c>
      <c r="L8" s="7">
        <v>4414.7</v>
      </c>
      <c r="M8" s="7">
        <v>4333.8</v>
      </c>
      <c r="N8" s="7">
        <v>4333.8</v>
      </c>
      <c r="O8" s="7">
        <v>4053.8</v>
      </c>
      <c r="P8" s="7">
        <v>3341.8</v>
      </c>
      <c r="Q8" s="7">
        <v>3241.8</v>
      </c>
      <c r="R8" s="7">
        <v>2981.8</v>
      </c>
      <c r="S8" s="7">
        <v>2855.8</v>
      </c>
      <c r="T8" s="7">
        <v>2730.8</v>
      </c>
      <c r="U8" s="7">
        <v>2570.8</v>
      </c>
      <c r="V8" s="7">
        <v>2470.8</v>
      </c>
      <c r="W8" s="7">
        <v>2370.8</v>
      </c>
      <c r="X8" s="7">
        <v>1865.8</v>
      </c>
      <c r="Y8" s="7">
        <v>1865.8</v>
      </c>
      <c r="Z8" s="7">
        <v>1801.8</v>
      </c>
      <c r="AA8" s="7">
        <v>1536.8</v>
      </c>
      <c r="AB8" s="7">
        <v>1280.8</v>
      </c>
      <c r="AC8" s="7">
        <v>1080.8</v>
      </c>
      <c r="AD8" s="7">
        <v>1071.8</v>
      </c>
      <c r="AE8" s="7">
        <v>961.8</v>
      </c>
      <c r="AF8" s="7">
        <v>961.8</v>
      </c>
      <c r="AG8" s="7">
        <v>701.8</v>
      </c>
      <c r="AH8" s="1">
        <v>619.3</v>
      </c>
      <c r="AI8" s="1">
        <v>619.3</v>
      </c>
      <c r="AJ8" s="1">
        <v>269.3</v>
      </c>
      <c r="AK8" s="1">
        <v>269.3</v>
      </c>
      <c r="AL8" s="1">
        <v>269.3</v>
      </c>
      <c r="AM8" s="13">
        <v>269.3</v>
      </c>
      <c r="AN8" s="13">
        <v>869.3</v>
      </c>
      <c r="AO8" s="15">
        <v>549.3</v>
      </c>
      <c r="AP8" s="15">
        <v>480.3</v>
      </c>
      <c r="AQ8" s="15">
        <v>380.3</v>
      </c>
      <c r="AR8" s="15">
        <v>244.3</v>
      </c>
      <c r="AS8" s="15">
        <v>144.3</v>
      </c>
      <c r="AT8" s="15">
        <v>94.3</v>
      </c>
      <c r="AU8" s="15">
        <v>894.3</v>
      </c>
      <c r="AV8" s="15">
        <v>762.3</v>
      </c>
      <c r="AW8" s="15">
        <v>347.3</v>
      </c>
      <c r="AX8" s="15">
        <v>197.3</v>
      </c>
      <c r="AY8" s="15">
        <v>82.3</v>
      </c>
      <c r="AZ8" s="16">
        <v>47.3</v>
      </c>
      <c r="BA8" s="15">
        <v>752.3</v>
      </c>
      <c r="BB8" s="13">
        <v>627.3</v>
      </c>
      <c r="BC8" s="15">
        <v>544.3</v>
      </c>
      <c r="BD8" s="15">
        <v>194.3</v>
      </c>
      <c r="BE8" s="15">
        <v>175.0</v>
      </c>
      <c r="BF8" s="15">
        <v>593.0</v>
      </c>
      <c r="BG8" s="15">
        <v>493.0</v>
      </c>
      <c r="BH8" s="15">
        <v>395.0</v>
      </c>
      <c r="BI8" s="15">
        <v>75.0</v>
      </c>
      <c r="BJ8" s="22">
        <v>1490.0</v>
      </c>
      <c r="BK8" s="15">
        <v>844.0</v>
      </c>
      <c r="BL8" s="15">
        <v>601.0</v>
      </c>
      <c r="BM8" s="15">
        <v>601.0</v>
      </c>
      <c r="BN8" s="15">
        <v>501.0</v>
      </c>
      <c r="BO8" s="15">
        <v>501.0</v>
      </c>
      <c r="BP8" s="15">
        <v>121.0</v>
      </c>
      <c r="BQ8" s="15">
        <v>71.0</v>
      </c>
      <c r="BR8" s="15">
        <v>50.0</v>
      </c>
      <c r="BS8" s="22">
        <v>1750.0</v>
      </c>
      <c r="BT8" s="22">
        <v>1750.0</v>
      </c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</row>
    <row r="9">
      <c r="A9" s="3" t="s">
        <v>17</v>
      </c>
      <c r="B9" s="7">
        <v>243.41</v>
      </c>
      <c r="C9" s="7">
        <v>243.41</v>
      </c>
      <c r="D9" s="7">
        <v>243.41</v>
      </c>
      <c r="E9" s="7">
        <v>243.41</v>
      </c>
      <c r="F9" s="7">
        <v>239.41</v>
      </c>
      <c r="G9" s="7">
        <v>239.41</v>
      </c>
      <c r="H9" s="7">
        <v>238.41</v>
      </c>
      <c r="I9" s="7">
        <v>438.41</v>
      </c>
      <c r="J9" s="7">
        <v>363.41</v>
      </c>
      <c r="K9" s="7">
        <v>358.41</v>
      </c>
      <c r="L9" s="7">
        <v>355.41</v>
      </c>
      <c r="M9" s="7">
        <v>436.2</v>
      </c>
      <c r="N9" s="7">
        <v>402.2</v>
      </c>
      <c r="O9" s="7">
        <v>402.2</v>
      </c>
      <c r="P9" s="7">
        <v>372.2</v>
      </c>
      <c r="Q9" s="7">
        <v>369.2</v>
      </c>
      <c r="R9" s="7">
        <v>367.2</v>
      </c>
      <c r="S9" s="7">
        <v>365.2</v>
      </c>
      <c r="T9" s="7">
        <v>363.2</v>
      </c>
      <c r="U9" s="7">
        <v>361.2</v>
      </c>
      <c r="V9" s="7">
        <v>331.2</v>
      </c>
      <c r="W9" s="7">
        <v>317.2</v>
      </c>
      <c r="X9" s="7">
        <v>315.2</v>
      </c>
      <c r="Y9" s="7">
        <v>290.2</v>
      </c>
      <c r="Z9" s="7">
        <v>263.2</v>
      </c>
      <c r="AA9" s="7">
        <v>262.2</v>
      </c>
      <c r="AB9" s="7">
        <v>262.2</v>
      </c>
      <c r="AC9" s="7">
        <v>252.2</v>
      </c>
      <c r="AD9" s="7">
        <v>252.2</v>
      </c>
      <c r="AE9" s="7">
        <v>252.2</v>
      </c>
      <c r="AF9" s="7">
        <v>232.2</v>
      </c>
      <c r="AG9" s="7">
        <v>180.2</v>
      </c>
      <c r="AH9" s="1">
        <v>149.2</v>
      </c>
      <c r="AI9" s="1">
        <v>149.2</v>
      </c>
      <c r="AJ9" s="1">
        <v>144.2</v>
      </c>
      <c r="AK9" s="1">
        <v>119.2</v>
      </c>
      <c r="AL9" s="1">
        <v>94.2</v>
      </c>
      <c r="AM9" s="13">
        <v>89.2</v>
      </c>
      <c r="AN9" s="13">
        <v>89.2</v>
      </c>
      <c r="AO9" s="15">
        <v>88.2</v>
      </c>
      <c r="AP9" s="15">
        <v>88.2</v>
      </c>
      <c r="AQ9" s="15">
        <v>88.2</v>
      </c>
      <c r="AR9" s="15">
        <v>88.2</v>
      </c>
      <c r="AS9" s="15">
        <v>88.2</v>
      </c>
      <c r="AT9" s="15">
        <v>84.64</v>
      </c>
      <c r="AU9" s="15">
        <v>79.64</v>
      </c>
      <c r="AV9" s="15">
        <v>76.64</v>
      </c>
      <c r="AW9" s="15">
        <v>76.64</v>
      </c>
      <c r="AX9" s="15">
        <v>75.64</v>
      </c>
      <c r="AY9" s="15">
        <v>49.64</v>
      </c>
      <c r="AZ9" s="16">
        <v>46.64</v>
      </c>
      <c r="BA9" s="15">
        <v>46.64</v>
      </c>
      <c r="BB9" s="13">
        <v>46.64</v>
      </c>
      <c r="BC9" s="15">
        <v>44.64</v>
      </c>
      <c r="BD9" s="15">
        <v>5.0</v>
      </c>
      <c r="BE9" s="15">
        <v>5.0</v>
      </c>
      <c r="BF9" s="15">
        <v>76.0</v>
      </c>
      <c r="BG9" s="15">
        <v>75.0</v>
      </c>
      <c r="BH9" s="15">
        <v>64.64</v>
      </c>
      <c r="BI9" s="15">
        <v>59.64</v>
      </c>
      <c r="BJ9" s="15">
        <v>156.64</v>
      </c>
      <c r="BK9" s="15">
        <v>144.64</v>
      </c>
      <c r="BL9" s="15">
        <v>144.64</v>
      </c>
      <c r="BM9" s="15">
        <v>144.64</v>
      </c>
      <c r="BN9" s="15">
        <v>119.64</v>
      </c>
      <c r="BO9" s="15">
        <v>117.0</v>
      </c>
      <c r="BP9" s="15">
        <v>114.0</v>
      </c>
      <c r="BQ9" s="15">
        <v>114.0</v>
      </c>
      <c r="BR9" s="15">
        <v>100.0</v>
      </c>
      <c r="BS9" s="15">
        <v>100.0</v>
      </c>
      <c r="BT9" s="15">
        <v>89.0</v>
      </c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</row>
    <row r="10">
      <c r="A10" s="3" t="s">
        <v>20</v>
      </c>
      <c r="B10" s="7">
        <v>244.0</v>
      </c>
      <c r="C10" s="7">
        <v>244.0</v>
      </c>
      <c r="D10" s="7">
        <v>244.0</v>
      </c>
      <c r="E10" s="7">
        <v>244.0</v>
      </c>
      <c r="F10" s="7">
        <v>244.0</v>
      </c>
      <c r="G10" s="7">
        <v>244.0</v>
      </c>
      <c r="H10" s="7">
        <v>244.0</v>
      </c>
      <c r="I10" s="7">
        <v>344.0</v>
      </c>
      <c r="J10" s="7">
        <v>344.0</v>
      </c>
      <c r="K10" s="7">
        <v>344.0</v>
      </c>
      <c r="L10" s="7">
        <v>343.0</v>
      </c>
      <c r="M10" s="7">
        <v>386.3</v>
      </c>
      <c r="N10" s="7">
        <v>386.3</v>
      </c>
      <c r="O10" s="7">
        <v>386.3</v>
      </c>
      <c r="P10" s="7">
        <v>366.3</v>
      </c>
      <c r="Q10" s="7">
        <v>366.3</v>
      </c>
      <c r="R10" s="7">
        <v>365.3</v>
      </c>
      <c r="S10" s="7">
        <v>365.3</v>
      </c>
      <c r="T10" s="7">
        <v>365.3</v>
      </c>
      <c r="U10" s="7">
        <v>364.3</v>
      </c>
      <c r="V10" s="7">
        <v>364.3</v>
      </c>
      <c r="W10" s="7">
        <v>364.3</v>
      </c>
      <c r="X10" s="7">
        <v>364.3</v>
      </c>
      <c r="Y10" s="7">
        <v>364.3</v>
      </c>
      <c r="Z10" s="7">
        <v>364.3</v>
      </c>
      <c r="AA10" s="7">
        <v>364.3</v>
      </c>
      <c r="AB10" s="7">
        <v>364.3</v>
      </c>
      <c r="AC10" s="7">
        <v>364.3</v>
      </c>
      <c r="AD10" s="7">
        <v>364.3</v>
      </c>
      <c r="AE10" s="7">
        <v>362.3</v>
      </c>
      <c r="AF10" s="7">
        <v>362.3</v>
      </c>
      <c r="AG10" s="7">
        <v>262.3</v>
      </c>
      <c r="AH10" s="1">
        <v>237.3</v>
      </c>
      <c r="AI10" s="1">
        <v>237.3</v>
      </c>
      <c r="AJ10" s="1">
        <v>237.3</v>
      </c>
      <c r="AK10" s="1">
        <v>212.3</v>
      </c>
      <c r="AL10" s="1">
        <v>212.3</v>
      </c>
      <c r="AM10" s="13">
        <v>212.3</v>
      </c>
      <c r="AN10" s="13">
        <v>212.3</v>
      </c>
      <c r="AO10" s="15">
        <v>212.3</v>
      </c>
      <c r="AP10" s="15">
        <v>212.3</v>
      </c>
      <c r="AQ10" s="15">
        <v>212.3</v>
      </c>
      <c r="AR10" s="15">
        <v>212.3</v>
      </c>
      <c r="AS10" s="15">
        <v>212.3</v>
      </c>
      <c r="AT10" s="15">
        <v>212.3</v>
      </c>
      <c r="AU10" s="15">
        <v>209.3</v>
      </c>
      <c r="AV10" s="15">
        <v>208.3</v>
      </c>
      <c r="AW10" s="15">
        <v>208.3</v>
      </c>
      <c r="AX10" s="15">
        <v>208.3</v>
      </c>
      <c r="AY10" s="15">
        <v>208.3</v>
      </c>
      <c r="AZ10" s="16">
        <v>208.3</v>
      </c>
      <c r="BA10" s="15">
        <v>208.3</v>
      </c>
      <c r="BB10" s="13">
        <v>208.3</v>
      </c>
      <c r="BC10" s="15">
        <v>208.3</v>
      </c>
      <c r="BD10" s="15">
        <v>173.3</v>
      </c>
      <c r="BE10" s="15">
        <v>173.3</v>
      </c>
      <c r="BF10" s="15">
        <v>173.3</v>
      </c>
      <c r="BG10" s="15">
        <v>173.3</v>
      </c>
      <c r="BH10" s="15">
        <v>173.3</v>
      </c>
      <c r="BI10" s="15">
        <v>173.3</v>
      </c>
      <c r="BJ10" s="15">
        <v>173.3</v>
      </c>
      <c r="BK10" s="15">
        <v>173.3</v>
      </c>
      <c r="BL10" s="15">
        <v>173.3</v>
      </c>
      <c r="BM10" s="15">
        <v>173.3</v>
      </c>
      <c r="BN10" s="15">
        <v>173.3</v>
      </c>
      <c r="BO10" s="15">
        <v>173.3</v>
      </c>
      <c r="BP10" s="15">
        <v>169.3</v>
      </c>
      <c r="BQ10" s="15">
        <v>169.3</v>
      </c>
      <c r="BR10" s="15">
        <v>168.3</v>
      </c>
      <c r="BS10" s="15">
        <v>168.3</v>
      </c>
      <c r="BT10" s="15">
        <v>168.3</v>
      </c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</row>
    <row r="11">
      <c r="A11" s="3" t="s">
        <v>19</v>
      </c>
      <c r="B11" s="7">
        <v>295.0</v>
      </c>
      <c r="C11" s="7">
        <v>295.0</v>
      </c>
      <c r="D11" s="7">
        <v>295.0</v>
      </c>
      <c r="E11" s="7">
        <v>295.0</v>
      </c>
      <c r="F11" s="7">
        <v>293.0</v>
      </c>
      <c r="G11" s="7">
        <v>293.0</v>
      </c>
      <c r="H11" s="7">
        <v>292.0</v>
      </c>
      <c r="I11" s="7">
        <v>392.0</v>
      </c>
      <c r="J11" s="7">
        <v>361.0</v>
      </c>
      <c r="K11" s="7">
        <v>356.0</v>
      </c>
      <c r="L11" s="7">
        <v>259.0</v>
      </c>
      <c r="M11" s="7">
        <v>162.0</v>
      </c>
      <c r="N11" s="7">
        <v>155.0</v>
      </c>
      <c r="O11" s="7">
        <v>155.0</v>
      </c>
      <c r="P11" s="7">
        <v>154.0</v>
      </c>
      <c r="Q11" s="7">
        <v>151.0</v>
      </c>
      <c r="R11" s="7">
        <v>149.0</v>
      </c>
      <c r="S11" s="7">
        <v>147.0</v>
      </c>
      <c r="T11" s="7">
        <v>146.0</v>
      </c>
      <c r="U11" s="7">
        <v>144.0</v>
      </c>
      <c r="V11" s="7">
        <v>117.0</v>
      </c>
      <c r="W11" s="7">
        <v>116.0</v>
      </c>
      <c r="X11" s="7">
        <v>115.0</v>
      </c>
      <c r="Y11" s="7">
        <v>95.0</v>
      </c>
      <c r="Z11" s="7">
        <v>78.0</v>
      </c>
      <c r="AA11" s="7">
        <v>77.0</v>
      </c>
      <c r="AB11" s="7">
        <v>76.0</v>
      </c>
      <c r="AC11" s="7">
        <v>76.0</v>
      </c>
      <c r="AD11" s="7">
        <v>75.0</v>
      </c>
      <c r="AE11" s="7">
        <v>320.0</v>
      </c>
      <c r="AF11" s="7">
        <v>300.0</v>
      </c>
      <c r="AG11" s="7">
        <v>299.0</v>
      </c>
      <c r="AH11" s="1">
        <v>274.0</v>
      </c>
      <c r="AI11" s="1">
        <v>272.0</v>
      </c>
      <c r="AJ11" s="1">
        <v>267.0</v>
      </c>
      <c r="AK11" s="1">
        <v>242.0</v>
      </c>
      <c r="AL11" s="1">
        <v>242.0</v>
      </c>
      <c r="AM11" s="13">
        <v>236.0</v>
      </c>
      <c r="AN11" s="13">
        <v>236.0</v>
      </c>
      <c r="AO11" s="15">
        <v>235.0</v>
      </c>
      <c r="AP11" s="15">
        <v>235.0</v>
      </c>
      <c r="AQ11" s="15">
        <v>234.0</v>
      </c>
      <c r="AR11" s="15">
        <v>234.0</v>
      </c>
      <c r="AS11" s="15">
        <v>234.0</v>
      </c>
      <c r="AT11" s="15">
        <v>233.0</v>
      </c>
      <c r="AU11" s="15">
        <v>230.0</v>
      </c>
      <c r="AV11" s="15">
        <v>229.0</v>
      </c>
      <c r="AW11" s="15">
        <v>219.0</v>
      </c>
      <c r="AX11" s="15">
        <v>218.0</v>
      </c>
      <c r="AY11" s="15">
        <v>214.0</v>
      </c>
      <c r="AZ11" s="16">
        <v>214.0</v>
      </c>
      <c r="BA11" s="15">
        <v>213.0</v>
      </c>
      <c r="BB11" s="13">
        <v>193.0</v>
      </c>
      <c r="BC11" s="15">
        <v>191.0</v>
      </c>
      <c r="BD11" s="15">
        <v>181.0</v>
      </c>
      <c r="BE11" s="15">
        <v>181.0</v>
      </c>
      <c r="BF11" s="15">
        <v>178.0</v>
      </c>
      <c r="BG11" s="15">
        <v>178.0</v>
      </c>
      <c r="BH11" s="15">
        <v>178.0</v>
      </c>
      <c r="BI11" s="15">
        <v>175.0</v>
      </c>
      <c r="BJ11" s="15">
        <v>152.0</v>
      </c>
      <c r="BK11" s="15">
        <v>149.0</v>
      </c>
      <c r="BL11" s="15">
        <v>149.0</v>
      </c>
      <c r="BM11" s="15">
        <v>149.0</v>
      </c>
      <c r="BN11" s="15">
        <v>125.0</v>
      </c>
      <c r="BO11" s="15">
        <v>119.0</v>
      </c>
      <c r="BP11" s="15">
        <v>115.0</v>
      </c>
      <c r="BQ11" s="15">
        <v>114.0</v>
      </c>
      <c r="BR11" s="15">
        <v>112.0</v>
      </c>
      <c r="BS11" s="15">
        <v>112.0</v>
      </c>
      <c r="BT11" s="15">
        <v>105.0</v>
      </c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</row>
    <row r="14">
      <c r="Y14" s="24"/>
      <c r="Z14" s="25"/>
      <c r="AA14" s="25"/>
      <c r="AB14" s="25"/>
    </row>
    <row r="15">
      <c r="Y15" s="24"/>
      <c r="Z15" s="25"/>
      <c r="AA15" s="25"/>
      <c r="AB15" s="25"/>
    </row>
    <row r="16">
      <c r="A16" s="26"/>
    </row>
    <row r="17">
      <c r="A17" s="26"/>
    </row>
    <row r="18">
      <c r="A18" s="26"/>
    </row>
    <row r="19">
      <c r="A19" s="26"/>
    </row>
    <row r="20" ht="15.75" customHeight="1">
      <c r="A20" s="26"/>
    </row>
    <row r="21" ht="15.75" customHeight="1">
      <c r="A21" s="26"/>
    </row>
    <row r="22" ht="15.75" customHeight="1">
      <c r="A22" s="26"/>
    </row>
    <row r="23" ht="15.75" customHeight="1">
      <c r="A23" s="26"/>
    </row>
    <row r="24" ht="15.75" customHeight="1">
      <c r="A24" s="26"/>
    </row>
    <row r="25" ht="15.75" customHeight="1">
      <c r="A25" s="26"/>
    </row>
    <row r="26" ht="15.75" customHeight="1"/>
    <row r="27" ht="15.75" customHeight="1">
      <c r="A27" s="26"/>
    </row>
    <row r="28" ht="15.75" customHeight="1">
      <c r="A28" s="26"/>
    </row>
    <row r="29" ht="15.75" customHeight="1">
      <c r="A29" s="2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29"/>
  </cols>
  <sheetData>
    <row r="1">
      <c r="A1" s="2" t="s">
        <v>0</v>
      </c>
      <c r="B1" s="2" t="s">
        <v>5</v>
      </c>
      <c r="C1" s="2" t="s">
        <v>6</v>
      </c>
      <c r="D1" s="4" t="s">
        <v>7</v>
      </c>
      <c r="E1" s="2" t="s">
        <v>8</v>
      </c>
      <c r="F1" s="4" t="s">
        <v>9</v>
      </c>
    </row>
    <row r="2">
      <c r="A2" s="3" t="s">
        <v>10</v>
      </c>
      <c r="B2" s="6">
        <v>46181.0</v>
      </c>
      <c r="C2" s="6">
        <v>46185.0</v>
      </c>
      <c r="D2" s="4">
        <v>500.0</v>
      </c>
      <c r="E2" s="2" t="s">
        <v>15</v>
      </c>
      <c r="F2" s="4">
        <v>1500.0</v>
      </c>
    </row>
    <row r="3">
      <c r="A3" s="3" t="s">
        <v>14</v>
      </c>
      <c r="B3" s="6">
        <v>46181.0</v>
      </c>
      <c r="C3" s="6">
        <v>46185.0</v>
      </c>
      <c r="D3" s="4">
        <v>1000.0</v>
      </c>
      <c r="E3" s="2" t="s">
        <v>15</v>
      </c>
      <c r="F3" s="4">
        <v>1500.0</v>
      </c>
    </row>
    <row r="4">
      <c r="A4" s="3" t="s">
        <v>4</v>
      </c>
      <c r="B4" s="6">
        <v>46129.0</v>
      </c>
      <c r="C4" s="6">
        <v>46134.0</v>
      </c>
      <c r="D4" s="4">
        <v>198.0</v>
      </c>
      <c r="E4" s="2" t="s">
        <v>18</v>
      </c>
      <c r="F4" s="4">
        <v>132.0</v>
      </c>
    </row>
    <row r="5">
      <c r="A5" s="3" t="s">
        <v>11</v>
      </c>
      <c r="B5" s="6">
        <v>46202.0</v>
      </c>
      <c r="C5" s="6">
        <v>46206.0</v>
      </c>
      <c r="D5" s="4">
        <v>150.0</v>
      </c>
      <c r="E5" s="2" t="s">
        <v>18</v>
      </c>
      <c r="F5" s="4">
        <v>96.0</v>
      </c>
    </row>
    <row r="6">
      <c r="A6" s="3" t="s">
        <v>19</v>
      </c>
      <c r="B6" s="6">
        <v>46180.0</v>
      </c>
      <c r="C6" s="6">
        <v>46195.0</v>
      </c>
      <c r="D6" s="4">
        <v>250.0</v>
      </c>
      <c r="E6" s="2" t="s">
        <v>15</v>
      </c>
      <c r="F6" s="4">
        <v>100.0</v>
      </c>
    </row>
    <row r="7">
      <c r="A7" s="3" t="s">
        <v>17</v>
      </c>
      <c r="B7" s="6">
        <v>46164.0</v>
      </c>
      <c r="C7" s="6">
        <v>46168.0</v>
      </c>
      <c r="D7" s="4">
        <v>200.0</v>
      </c>
      <c r="E7" s="2" t="s">
        <v>15</v>
      </c>
      <c r="F7" s="4">
        <v>100.0</v>
      </c>
    </row>
    <row r="8">
      <c r="A8" s="3" t="s">
        <v>20</v>
      </c>
      <c r="B8" s="6">
        <v>46162.0</v>
      </c>
      <c r="C8" s="6">
        <v>46168.0</v>
      </c>
      <c r="D8" s="4">
        <v>100.0</v>
      </c>
      <c r="E8" s="2" t="s">
        <v>15</v>
      </c>
      <c r="F8" s="4">
        <v>100.0</v>
      </c>
    </row>
    <row r="9">
      <c r="A9" s="3" t="s">
        <v>16</v>
      </c>
      <c r="B9" s="6">
        <v>46202.0</v>
      </c>
      <c r="C9" s="6">
        <v>46206.0</v>
      </c>
      <c r="D9" s="4">
        <v>600.0</v>
      </c>
      <c r="E9" s="2" t="s">
        <v>21</v>
      </c>
      <c r="F9" s="4">
        <v>1000.0</v>
      </c>
    </row>
    <row r="10">
      <c r="A10" s="3" t="s">
        <v>13</v>
      </c>
      <c r="B10" s="6">
        <v>46179.0</v>
      </c>
      <c r="C10" s="6">
        <v>46191.0</v>
      </c>
      <c r="D10" s="4">
        <v>504.0</v>
      </c>
      <c r="E10" s="2" t="s">
        <v>18</v>
      </c>
      <c r="F10" s="4">
        <v>252.0</v>
      </c>
    </row>
    <row r="11">
      <c r="A11" s="3" t="s">
        <v>12</v>
      </c>
      <c r="B11" s="6">
        <v>46163.0</v>
      </c>
      <c r="C11" s="6">
        <v>46168.0</v>
      </c>
      <c r="D11" s="4">
        <v>750.0</v>
      </c>
      <c r="E11" s="2" t="s">
        <v>18</v>
      </c>
      <c r="F11" s="4">
        <v>600.0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  <c r="H1" s="9" t="s">
        <v>60</v>
      </c>
      <c r="I1" s="9" t="s">
        <v>61</v>
      </c>
    </row>
    <row r="2">
      <c r="A2" s="9" t="s">
        <v>4</v>
      </c>
      <c r="B2" s="10" t="s">
        <v>62</v>
      </c>
      <c r="C2" s="9">
        <v>40990.0</v>
      </c>
      <c r="D2" s="11">
        <v>118.0</v>
      </c>
      <c r="E2" s="11">
        <v>198.0</v>
      </c>
      <c r="F2" s="12">
        <v>23364.0</v>
      </c>
      <c r="G2" s="14">
        <v>46028.0</v>
      </c>
      <c r="H2" s="14">
        <v>46031.0</v>
      </c>
      <c r="I2" s="11">
        <v>3.0</v>
      </c>
    </row>
    <row r="3">
      <c r="A3" s="9" t="s">
        <v>4</v>
      </c>
      <c r="B3" s="10" t="s">
        <v>62</v>
      </c>
      <c r="C3" s="9">
        <v>41394.0</v>
      </c>
      <c r="D3" s="11">
        <v>136.14</v>
      </c>
      <c r="E3" s="11">
        <v>144.0</v>
      </c>
      <c r="F3" s="12">
        <v>19604.0</v>
      </c>
      <c r="G3" s="14">
        <v>46044.0</v>
      </c>
      <c r="H3" s="14">
        <v>46091.0</v>
      </c>
      <c r="I3" s="11">
        <v>47.0</v>
      </c>
    </row>
    <row r="4">
      <c r="A4" s="9" t="s">
        <v>4</v>
      </c>
      <c r="B4" s="10" t="s">
        <v>62</v>
      </c>
      <c r="C4" s="9">
        <v>41979.0</v>
      </c>
      <c r="D4" s="11">
        <v>141.81</v>
      </c>
      <c r="E4" s="11">
        <v>396.0</v>
      </c>
      <c r="F4" s="12">
        <v>56157.0</v>
      </c>
      <c r="G4" s="14">
        <v>46069.0</v>
      </c>
      <c r="H4" s="14">
        <v>46091.0</v>
      </c>
      <c r="I4" s="11">
        <v>22.0</v>
      </c>
    </row>
    <row r="5">
      <c r="A5" s="9" t="s">
        <v>4</v>
      </c>
      <c r="B5" s="10" t="s">
        <v>63</v>
      </c>
      <c r="C5" s="9">
        <v>43483.0</v>
      </c>
      <c r="D5" s="11">
        <v>117.0</v>
      </c>
      <c r="E5" s="11">
        <v>396.0</v>
      </c>
      <c r="F5" s="12">
        <v>46332.0</v>
      </c>
      <c r="G5" s="14">
        <v>46121.0</v>
      </c>
      <c r="H5" s="14">
        <v>46127.0</v>
      </c>
      <c r="I5" s="11">
        <v>6.0</v>
      </c>
    </row>
    <row r="6">
      <c r="A6" s="9" t="s">
        <v>4</v>
      </c>
      <c r="B6" s="10" t="s">
        <v>63</v>
      </c>
      <c r="C6" s="9">
        <v>43762.0</v>
      </c>
      <c r="D6" s="11">
        <v>117.0</v>
      </c>
      <c r="E6" s="11">
        <v>198.0</v>
      </c>
      <c r="F6" s="12">
        <v>23166.0</v>
      </c>
      <c r="G6" s="14">
        <v>46129.0</v>
      </c>
      <c r="H6" s="14">
        <v>46136.0</v>
      </c>
      <c r="I6" s="11">
        <v>7.0</v>
      </c>
    </row>
    <row r="7">
      <c r="A7" s="17" t="s">
        <v>11</v>
      </c>
      <c r="B7" s="10" t="s">
        <v>64</v>
      </c>
      <c r="C7" s="9">
        <v>44826.0</v>
      </c>
      <c r="D7" s="11">
        <v>130.0</v>
      </c>
      <c r="E7" s="11">
        <v>500.0</v>
      </c>
      <c r="F7" s="12">
        <v>65000.0</v>
      </c>
      <c r="G7" s="14">
        <v>46163.0</v>
      </c>
      <c r="H7" s="14">
        <v>46169.0</v>
      </c>
      <c r="I7" s="11">
        <v>6.0</v>
      </c>
    </row>
    <row r="8">
      <c r="A8" s="17" t="s">
        <v>11</v>
      </c>
      <c r="B8" s="10" t="s">
        <v>64</v>
      </c>
      <c r="C8" s="9">
        <v>45369.0</v>
      </c>
      <c r="D8" s="11">
        <v>130.0</v>
      </c>
      <c r="E8" s="11">
        <v>192.0</v>
      </c>
      <c r="F8" s="12">
        <v>24960.0</v>
      </c>
      <c r="G8" s="14">
        <v>46181.0</v>
      </c>
      <c r="H8" s="14">
        <v>46185.0</v>
      </c>
      <c r="I8" s="11">
        <v>4.0</v>
      </c>
    </row>
    <row r="9">
      <c r="A9" s="17" t="s">
        <v>11</v>
      </c>
      <c r="B9" s="10" t="s">
        <v>62</v>
      </c>
      <c r="C9" s="9">
        <v>40990.0</v>
      </c>
      <c r="D9" s="11">
        <v>118.0</v>
      </c>
      <c r="E9" s="11">
        <v>288.0</v>
      </c>
      <c r="F9" s="12">
        <v>33984.0</v>
      </c>
      <c r="G9" s="14">
        <v>46028.0</v>
      </c>
      <c r="H9" s="14">
        <v>46031.0</v>
      </c>
      <c r="I9" s="11">
        <v>3.0</v>
      </c>
    </row>
    <row r="10">
      <c r="A10" s="17" t="s">
        <v>11</v>
      </c>
      <c r="B10" s="10" t="s">
        <v>62</v>
      </c>
      <c r="C10" s="9">
        <v>41394.0</v>
      </c>
      <c r="D10" s="11">
        <v>137.76</v>
      </c>
      <c r="E10" s="11">
        <v>132.0</v>
      </c>
      <c r="F10" s="12">
        <v>18184.0</v>
      </c>
      <c r="G10" s="14">
        <v>46044.0</v>
      </c>
      <c r="H10" s="14">
        <v>46091.0</v>
      </c>
      <c r="I10" s="11">
        <v>47.0</v>
      </c>
    </row>
    <row r="11">
      <c r="A11" s="17" t="s">
        <v>11</v>
      </c>
      <c r="B11" s="10" t="s">
        <v>62</v>
      </c>
      <c r="C11" s="9">
        <v>41979.0</v>
      </c>
      <c r="D11" s="11">
        <v>144.24</v>
      </c>
      <c r="E11" s="11">
        <v>240.0</v>
      </c>
      <c r="F11" s="12">
        <v>34618.0</v>
      </c>
      <c r="G11" s="14">
        <v>46069.0</v>
      </c>
      <c r="H11" s="18">
        <v>46081.0</v>
      </c>
      <c r="I11" s="11">
        <v>12.0</v>
      </c>
    </row>
    <row r="12">
      <c r="A12" s="17" t="s">
        <v>11</v>
      </c>
      <c r="B12" s="10" t="s">
        <v>63</v>
      </c>
      <c r="C12" s="9">
        <v>43483.0</v>
      </c>
      <c r="D12" s="11">
        <v>117.0</v>
      </c>
      <c r="E12" s="11">
        <v>321.0</v>
      </c>
      <c r="F12" s="12">
        <v>37557.0</v>
      </c>
      <c r="G12" s="14">
        <v>46121.0</v>
      </c>
      <c r="H12" s="14">
        <v>46127.0</v>
      </c>
      <c r="I12" s="11">
        <v>6.0</v>
      </c>
    </row>
    <row r="13">
      <c r="A13" s="17" t="s">
        <v>11</v>
      </c>
      <c r="B13" s="10" t="s">
        <v>63</v>
      </c>
      <c r="C13" s="9">
        <v>43762.0</v>
      </c>
      <c r="D13" s="11">
        <v>117.0</v>
      </c>
      <c r="E13" s="11">
        <v>144.0</v>
      </c>
      <c r="F13" s="12">
        <v>16848.0</v>
      </c>
      <c r="G13" s="14">
        <v>46129.0</v>
      </c>
      <c r="H13" s="14">
        <v>46136.0</v>
      </c>
      <c r="I13" s="11">
        <v>7.0</v>
      </c>
    </row>
    <row r="14">
      <c r="A14" s="17" t="s">
        <v>10</v>
      </c>
      <c r="B14" s="10" t="s">
        <v>64</v>
      </c>
      <c r="C14" s="9">
        <v>45369.0</v>
      </c>
      <c r="D14" s="11">
        <v>24.5</v>
      </c>
      <c r="E14" s="11">
        <v>500.0</v>
      </c>
      <c r="F14" s="12">
        <v>12250.0</v>
      </c>
      <c r="G14" s="14">
        <v>46181.0</v>
      </c>
      <c r="H14" s="14">
        <v>46185.0</v>
      </c>
      <c r="I14" s="11">
        <v>4.0</v>
      </c>
    </row>
    <row r="15">
      <c r="A15" s="17" t="s">
        <v>10</v>
      </c>
      <c r="B15" s="10" t="s">
        <v>62</v>
      </c>
      <c r="C15" s="9">
        <v>40990.0</v>
      </c>
      <c r="D15" s="11">
        <v>19.0</v>
      </c>
      <c r="E15" s="19">
        <v>1500.0</v>
      </c>
      <c r="F15" s="12">
        <v>28500.0</v>
      </c>
      <c r="G15" s="14">
        <v>46029.0</v>
      </c>
      <c r="H15" s="14">
        <v>46031.0</v>
      </c>
      <c r="I15" s="11">
        <v>2.0</v>
      </c>
    </row>
    <row r="16">
      <c r="A16" s="17" t="s">
        <v>10</v>
      </c>
      <c r="B16" s="10" t="s">
        <v>62</v>
      </c>
      <c r="C16" s="9">
        <v>41394.0</v>
      </c>
      <c r="D16" s="11">
        <v>19.85</v>
      </c>
      <c r="E16" s="19">
        <v>1000.0</v>
      </c>
      <c r="F16" s="12">
        <v>19850.0</v>
      </c>
      <c r="G16" s="14">
        <v>46044.0</v>
      </c>
      <c r="H16" s="14">
        <v>46091.0</v>
      </c>
      <c r="I16" s="11">
        <v>47.0</v>
      </c>
    </row>
    <row r="17">
      <c r="A17" s="17" t="s">
        <v>10</v>
      </c>
      <c r="B17" s="10" t="s">
        <v>62</v>
      </c>
      <c r="C17" s="9">
        <v>41979.0</v>
      </c>
      <c r="D17" s="11">
        <v>19.85</v>
      </c>
      <c r="E17" s="19">
        <v>1500.0</v>
      </c>
      <c r="F17" s="12">
        <v>29775.0</v>
      </c>
      <c r="G17" s="14">
        <v>46069.0</v>
      </c>
      <c r="H17" s="18">
        <v>46072.0</v>
      </c>
      <c r="I17" s="11">
        <v>3.0</v>
      </c>
    </row>
    <row r="18">
      <c r="A18" s="17" t="s">
        <v>10</v>
      </c>
      <c r="B18" s="10" t="s">
        <v>62</v>
      </c>
      <c r="C18" s="9">
        <v>42976.0</v>
      </c>
      <c r="D18" s="11">
        <v>20.39</v>
      </c>
      <c r="E18" s="19">
        <v>1000.0</v>
      </c>
      <c r="F18" s="12">
        <v>20390.0</v>
      </c>
      <c r="G18" s="14">
        <v>46107.0</v>
      </c>
      <c r="H18" s="14">
        <v>46114.0</v>
      </c>
      <c r="I18" s="11">
        <v>7.0</v>
      </c>
    </row>
    <row r="19">
      <c r="A19" s="17" t="s">
        <v>10</v>
      </c>
      <c r="B19" s="10" t="s">
        <v>62</v>
      </c>
      <c r="C19" s="9">
        <v>44294.0</v>
      </c>
      <c r="D19" s="11">
        <v>24.38</v>
      </c>
      <c r="E19" s="19">
        <v>1500.0</v>
      </c>
      <c r="F19" s="12">
        <v>36570.0</v>
      </c>
      <c r="G19" s="14">
        <v>46147.0</v>
      </c>
      <c r="H19" s="14">
        <v>46154.0</v>
      </c>
      <c r="I19" s="11">
        <v>7.0</v>
      </c>
    </row>
    <row r="20">
      <c r="A20" s="17" t="s">
        <v>10</v>
      </c>
      <c r="B20" s="10" t="s">
        <v>62</v>
      </c>
      <c r="C20" s="9">
        <v>44825.0</v>
      </c>
      <c r="D20" s="11">
        <v>24.38</v>
      </c>
      <c r="E20" s="11">
        <v>500.0</v>
      </c>
      <c r="F20" s="12">
        <v>12190.0</v>
      </c>
      <c r="G20" s="14">
        <v>46163.0</v>
      </c>
      <c r="H20" s="14">
        <v>46168.0</v>
      </c>
      <c r="I20" s="11">
        <v>5.0</v>
      </c>
    </row>
    <row r="21">
      <c r="A21" s="17" t="s">
        <v>10</v>
      </c>
      <c r="B21" s="20" t="s">
        <v>63</v>
      </c>
      <c r="C21" s="9">
        <v>43762.0</v>
      </c>
      <c r="D21" s="11">
        <v>20.3</v>
      </c>
      <c r="E21" s="19">
        <v>1500.0</v>
      </c>
      <c r="F21" s="12">
        <v>30450.0</v>
      </c>
      <c r="G21" s="14">
        <v>46129.0</v>
      </c>
      <c r="H21" s="14">
        <v>46136.0</v>
      </c>
      <c r="I21" s="11">
        <v>7.0</v>
      </c>
    </row>
    <row r="22">
      <c r="A22" s="17" t="s">
        <v>14</v>
      </c>
      <c r="B22" s="10" t="s">
        <v>64</v>
      </c>
      <c r="C22" s="9">
        <v>45369.0</v>
      </c>
      <c r="D22" s="11">
        <v>18.3</v>
      </c>
      <c r="E22" s="19">
        <v>1000.0</v>
      </c>
      <c r="F22" s="12">
        <v>18300.0</v>
      </c>
      <c r="G22" s="14">
        <v>46181.0</v>
      </c>
      <c r="H22" s="14">
        <v>46185.0</v>
      </c>
      <c r="I22" s="11">
        <v>4.0</v>
      </c>
    </row>
    <row r="23">
      <c r="A23" s="17" t="s">
        <v>14</v>
      </c>
      <c r="B23" s="10" t="s">
        <v>62</v>
      </c>
      <c r="C23" s="9">
        <v>40990.0</v>
      </c>
      <c r="D23" s="11">
        <v>16.0</v>
      </c>
      <c r="E23" s="19">
        <v>1000.0</v>
      </c>
      <c r="F23" s="12">
        <v>16000.0</v>
      </c>
      <c r="G23" s="14">
        <v>46029.0</v>
      </c>
      <c r="H23" s="14">
        <v>46031.0</v>
      </c>
      <c r="I23" s="11">
        <v>2.0</v>
      </c>
    </row>
    <row r="24">
      <c r="A24" s="17" t="s">
        <v>14</v>
      </c>
      <c r="B24" s="10" t="s">
        <v>62</v>
      </c>
      <c r="C24" s="9">
        <v>41394.0</v>
      </c>
      <c r="D24" s="11">
        <v>16.46</v>
      </c>
      <c r="E24" s="11">
        <v>500.0</v>
      </c>
      <c r="F24" s="12">
        <v>8230.0</v>
      </c>
      <c r="G24" s="14">
        <v>46044.0</v>
      </c>
      <c r="H24" s="14">
        <v>46049.0</v>
      </c>
      <c r="I24" s="11">
        <v>5.0</v>
      </c>
    </row>
    <row r="25">
      <c r="A25" s="17" t="s">
        <v>14</v>
      </c>
      <c r="B25" s="10" t="s">
        <v>62</v>
      </c>
      <c r="C25" s="9">
        <v>41979.0</v>
      </c>
      <c r="D25" s="11">
        <v>16.46</v>
      </c>
      <c r="E25" s="19">
        <v>1500.0</v>
      </c>
      <c r="F25" s="12">
        <v>24690.0</v>
      </c>
      <c r="G25" s="14">
        <v>46069.0</v>
      </c>
      <c r="H25" s="18">
        <v>46072.0</v>
      </c>
      <c r="I25" s="11">
        <v>3.0</v>
      </c>
    </row>
    <row r="26">
      <c r="A26" s="17" t="s">
        <v>14</v>
      </c>
      <c r="B26" s="10" t="s">
        <v>62</v>
      </c>
      <c r="C26" s="9">
        <v>42976.0</v>
      </c>
      <c r="D26" s="11">
        <v>16.91</v>
      </c>
      <c r="E26" s="19">
        <v>1000.0</v>
      </c>
      <c r="F26" s="12">
        <v>16910.0</v>
      </c>
      <c r="G26" s="14">
        <v>46107.0</v>
      </c>
      <c r="H26" s="14">
        <v>46114.0</v>
      </c>
      <c r="I26" s="11">
        <v>7.0</v>
      </c>
    </row>
    <row r="27">
      <c r="A27" s="17" t="s">
        <v>14</v>
      </c>
      <c r="B27" s="10" t="s">
        <v>62</v>
      </c>
      <c r="C27" s="9">
        <v>44825.0</v>
      </c>
      <c r="D27" s="11">
        <v>21.22</v>
      </c>
      <c r="E27" s="19">
        <v>1000.0</v>
      </c>
      <c r="F27" s="12">
        <v>21220.0</v>
      </c>
      <c r="G27" s="14">
        <v>46163.0</v>
      </c>
      <c r="H27" s="14">
        <v>46168.0</v>
      </c>
      <c r="I27" s="11">
        <v>5.0</v>
      </c>
    </row>
    <row r="28">
      <c r="A28" s="17" t="s">
        <v>16</v>
      </c>
      <c r="B28" s="10" t="s">
        <v>62</v>
      </c>
      <c r="C28" s="9">
        <v>40990.0</v>
      </c>
      <c r="D28" s="11">
        <v>15.5</v>
      </c>
      <c r="E28" s="19">
        <v>3500.0</v>
      </c>
      <c r="F28" s="12">
        <v>54250.0</v>
      </c>
      <c r="G28" s="14">
        <v>46029.0</v>
      </c>
      <c r="H28" s="14">
        <v>46031.0</v>
      </c>
      <c r="I28" s="11">
        <v>2.0</v>
      </c>
    </row>
    <row r="29">
      <c r="A29" s="17" t="s">
        <v>16</v>
      </c>
      <c r="B29" s="10" t="s">
        <v>62</v>
      </c>
      <c r="C29" s="9">
        <v>41394.0</v>
      </c>
      <c r="D29" s="11">
        <v>14.96</v>
      </c>
      <c r="E29" s="19">
        <v>2500.0</v>
      </c>
      <c r="F29" s="12">
        <v>37400.0</v>
      </c>
      <c r="G29" s="14">
        <v>46044.0</v>
      </c>
      <c r="H29" s="14">
        <v>46066.0</v>
      </c>
      <c r="I29" s="11">
        <v>22.0</v>
      </c>
    </row>
    <row r="30">
      <c r="A30" s="17" t="s">
        <v>16</v>
      </c>
      <c r="B30" s="10" t="s">
        <v>62</v>
      </c>
      <c r="C30" s="9">
        <v>41979.0</v>
      </c>
      <c r="D30" s="11">
        <v>15.36</v>
      </c>
      <c r="E30" s="19">
        <v>2500.0</v>
      </c>
      <c r="F30" s="12">
        <v>38400.0</v>
      </c>
      <c r="G30" s="14">
        <v>46069.0</v>
      </c>
      <c r="H30" s="14">
        <v>46080.0</v>
      </c>
      <c r="I30" s="11">
        <v>11.0</v>
      </c>
    </row>
    <row r="31">
      <c r="A31" s="17" t="s">
        <v>16</v>
      </c>
      <c r="B31" s="10" t="s">
        <v>62</v>
      </c>
      <c r="C31" s="9">
        <v>42976.0</v>
      </c>
      <c r="D31" s="11">
        <v>15.37</v>
      </c>
      <c r="E31" s="19">
        <v>3000.0</v>
      </c>
      <c r="F31" s="12">
        <v>46110.0</v>
      </c>
      <c r="G31" s="14">
        <v>46107.0</v>
      </c>
      <c r="H31" s="14">
        <v>46116.0</v>
      </c>
      <c r="I31" s="11">
        <v>9.0</v>
      </c>
    </row>
    <row r="32">
      <c r="A32" s="17" t="s">
        <v>16</v>
      </c>
      <c r="B32" s="10" t="s">
        <v>62</v>
      </c>
      <c r="C32" s="9">
        <v>43902.0</v>
      </c>
      <c r="D32" s="11">
        <v>21.21</v>
      </c>
      <c r="E32" s="19">
        <v>5000.0</v>
      </c>
      <c r="F32" s="12">
        <v>106050.0</v>
      </c>
      <c r="G32" s="14">
        <v>46134.0</v>
      </c>
      <c r="H32" s="14">
        <v>46140.0</v>
      </c>
      <c r="I32" s="11">
        <v>6.0</v>
      </c>
    </row>
    <row r="33">
      <c r="A33" s="17" t="s">
        <v>16</v>
      </c>
      <c r="B33" s="10" t="s">
        <v>62</v>
      </c>
      <c r="C33" s="9">
        <v>44294.0</v>
      </c>
      <c r="D33" s="11">
        <v>21.2</v>
      </c>
      <c r="E33" s="19">
        <v>1500.0</v>
      </c>
      <c r="F33" s="12">
        <v>31800.0</v>
      </c>
      <c r="G33" s="14">
        <v>46147.0</v>
      </c>
      <c r="H33" s="14">
        <v>46154.0</v>
      </c>
      <c r="I33" s="11">
        <v>7.0</v>
      </c>
    </row>
    <row r="34">
      <c r="A34" s="17" t="s">
        <v>16</v>
      </c>
      <c r="B34" s="10" t="s">
        <v>63</v>
      </c>
      <c r="C34" s="9">
        <v>43762.0</v>
      </c>
      <c r="D34" s="11">
        <v>15.5</v>
      </c>
      <c r="E34" s="19">
        <v>5000.0</v>
      </c>
      <c r="F34" s="12">
        <v>77500.0</v>
      </c>
      <c r="G34" s="14">
        <v>46129.0</v>
      </c>
      <c r="H34" s="14">
        <v>46149.0</v>
      </c>
      <c r="I34" s="11">
        <v>20.0</v>
      </c>
    </row>
    <row r="35">
      <c r="A35" s="17" t="s">
        <v>19</v>
      </c>
      <c r="B35" s="10" t="s">
        <v>62</v>
      </c>
      <c r="C35" s="9">
        <v>40990.0</v>
      </c>
      <c r="D35" s="11">
        <v>40.0</v>
      </c>
      <c r="E35" s="11">
        <v>100.0</v>
      </c>
      <c r="F35" s="12">
        <v>4000.0</v>
      </c>
      <c r="G35" s="14">
        <v>46029.0</v>
      </c>
      <c r="H35" s="14">
        <v>46031.0</v>
      </c>
      <c r="I35" s="11">
        <v>2.0</v>
      </c>
    </row>
    <row r="36">
      <c r="A36" s="17" t="s">
        <v>19</v>
      </c>
      <c r="B36" s="10" t="s">
        <v>62</v>
      </c>
      <c r="C36" s="9">
        <v>41979.0</v>
      </c>
      <c r="D36" s="11">
        <v>50.04</v>
      </c>
      <c r="E36" s="11">
        <v>150.0</v>
      </c>
      <c r="F36" s="12">
        <v>7506.0</v>
      </c>
      <c r="G36" s="14">
        <v>46069.0</v>
      </c>
      <c r="H36" s="18">
        <v>46072.0</v>
      </c>
      <c r="I36" s="11">
        <v>3.0</v>
      </c>
    </row>
    <row r="37">
      <c r="A37" s="17" t="s">
        <v>19</v>
      </c>
      <c r="B37" s="10" t="s">
        <v>62</v>
      </c>
      <c r="C37" s="9">
        <v>42976.0</v>
      </c>
      <c r="D37" s="11">
        <v>50.04</v>
      </c>
      <c r="E37" s="11">
        <v>200.0</v>
      </c>
      <c r="F37" s="12">
        <v>10008.0</v>
      </c>
      <c r="G37" s="14">
        <v>46107.0</v>
      </c>
      <c r="H37" s="14">
        <v>46114.0</v>
      </c>
      <c r="I37" s="11">
        <v>7.0</v>
      </c>
    </row>
    <row r="38">
      <c r="A38" s="17" t="s">
        <v>19</v>
      </c>
      <c r="B38" s="10" t="s">
        <v>62</v>
      </c>
      <c r="C38" s="9">
        <v>43690.0</v>
      </c>
      <c r="D38" s="11">
        <v>22.37</v>
      </c>
      <c r="E38" s="11">
        <v>100.0</v>
      </c>
      <c r="F38" s="12">
        <v>2237.0</v>
      </c>
      <c r="G38" s="14">
        <v>46127.0</v>
      </c>
      <c r="H38" s="14">
        <v>46137.0</v>
      </c>
      <c r="I38" s="11">
        <v>10.0</v>
      </c>
    </row>
    <row r="39">
      <c r="A39" s="17" t="s">
        <v>19</v>
      </c>
      <c r="B39" s="10" t="s">
        <v>62</v>
      </c>
      <c r="C39" s="9">
        <v>44294.0</v>
      </c>
      <c r="D39" s="11">
        <v>50.04</v>
      </c>
      <c r="E39" s="11">
        <v>100.0</v>
      </c>
      <c r="F39" s="12">
        <v>5004.0</v>
      </c>
      <c r="G39" s="14">
        <v>46147.0</v>
      </c>
      <c r="H39" s="14">
        <v>46154.0</v>
      </c>
      <c r="I39" s="11">
        <v>7.0</v>
      </c>
    </row>
    <row r="40">
      <c r="A40" s="17" t="s">
        <v>19</v>
      </c>
      <c r="B40" s="10" t="s">
        <v>62</v>
      </c>
      <c r="C40" s="9">
        <v>44797.0</v>
      </c>
      <c r="D40" s="11">
        <v>50.04</v>
      </c>
      <c r="E40" s="11">
        <v>100.0</v>
      </c>
      <c r="F40" s="12">
        <v>5004.0</v>
      </c>
      <c r="G40" s="14">
        <v>46162.0</v>
      </c>
      <c r="H40" s="14">
        <v>46168.0</v>
      </c>
      <c r="I40" s="11">
        <v>6.0</v>
      </c>
    </row>
    <row r="41">
      <c r="A41" s="17" t="s">
        <v>19</v>
      </c>
      <c r="B41" s="10" t="s">
        <v>62</v>
      </c>
      <c r="C41" s="9">
        <v>45352.0</v>
      </c>
      <c r="D41" s="11">
        <v>40.27</v>
      </c>
      <c r="E41" s="11">
        <v>250.0</v>
      </c>
      <c r="F41" s="12">
        <v>10068.0</v>
      </c>
      <c r="G41" s="14">
        <v>46179.0</v>
      </c>
      <c r="H41" s="14">
        <v>46195.0</v>
      </c>
      <c r="I41" s="11">
        <v>16.0</v>
      </c>
    </row>
    <row r="42">
      <c r="A42" s="17" t="s">
        <v>17</v>
      </c>
      <c r="B42" s="10" t="s">
        <v>62</v>
      </c>
      <c r="C42" s="9">
        <v>40990.0</v>
      </c>
      <c r="D42" s="11">
        <v>22.0</v>
      </c>
      <c r="E42" s="11">
        <v>200.0</v>
      </c>
      <c r="F42" s="12">
        <v>4400.0</v>
      </c>
      <c r="G42" s="14">
        <v>46029.0</v>
      </c>
      <c r="H42" s="14">
        <v>46031.0</v>
      </c>
      <c r="I42" s="11">
        <v>2.0</v>
      </c>
    </row>
    <row r="43">
      <c r="A43" s="17" t="s">
        <v>17</v>
      </c>
      <c r="B43" s="10" t="s">
        <v>62</v>
      </c>
      <c r="C43" s="9">
        <v>41394.0</v>
      </c>
      <c r="D43" s="11">
        <v>22.31</v>
      </c>
      <c r="E43" s="11">
        <v>200.0</v>
      </c>
      <c r="F43" s="12">
        <v>4462.0</v>
      </c>
      <c r="G43" s="14">
        <v>46044.0</v>
      </c>
      <c r="H43" s="14">
        <v>46049.0</v>
      </c>
      <c r="I43" s="11">
        <v>5.0</v>
      </c>
    </row>
    <row r="44">
      <c r="A44" s="17" t="s">
        <v>17</v>
      </c>
      <c r="B44" s="10" t="s">
        <v>62</v>
      </c>
      <c r="C44" s="9">
        <v>42976.0</v>
      </c>
      <c r="D44" s="11">
        <v>22.3</v>
      </c>
      <c r="E44" s="11">
        <v>300.0</v>
      </c>
      <c r="F44" s="12">
        <v>6690.0</v>
      </c>
      <c r="G44" s="14">
        <v>46107.0</v>
      </c>
      <c r="H44" s="14">
        <v>46114.0</v>
      </c>
      <c r="I44" s="11">
        <v>7.0</v>
      </c>
    </row>
    <row r="45">
      <c r="A45" s="17" t="s">
        <v>17</v>
      </c>
      <c r="B45" s="10" t="s">
        <v>62</v>
      </c>
      <c r="C45" s="9">
        <v>44294.0</v>
      </c>
      <c r="D45" s="11">
        <v>22.3</v>
      </c>
      <c r="E45" s="11">
        <v>250.0</v>
      </c>
      <c r="F45" s="12">
        <v>5575.0</v>
      </c>
      <c r="G45" s="14">
        <v>46147.0</v>
      </c>
      <c r="H45" s="14">
        <v>46154.0</v>
      </c>
      <c r="I45" s="11">
        <v>7.0</v>
      </c>
    </row>
    <row r="46">
      <c r="A46" s="17" t="s">
        <v>17</v>
      </c>
      <c r="B46" s="10" t="s">
        <v>62</v>
      </c>
      <c r="C46" s="9">
        <v>44797.0</v>
      </c>
      <c r="D46" s="11">
        <v>22.3</v>
      </c>
      <c r="E46" s="11">
        <v>200.0</v>
      </c>
      <c r="F46" s="12">
        <v>4460.0</v>
      </c>
      <c r="G46" s="14">
        <v>46162.0</v>
      </c>
      <c r="H46" s="14">
        <v>46168.0</v>
      </c>
      <c r="I46" s="11">
        <v>6.0</v>
      </c>
    </row>
    <row r="47">
      <c r="A47" s="17" t="s">
        <v>17</v>
      </c>
      <c r="B47" s="10" t="s">
        <v>63</v>
      </c>
      <c r="C47" s="9">
        <v>43762.0</v>
      </c>
      <c r="D47" s="11">
        <v>22.0</v>
      </c>
      <c r="E47" s="11">
        <v>100.0</v>
      </c>
      <c r="F47" s="12">
        <v>2200.0</v>
      </c>
      <c r="G47" s="14">
        <v>46129.0</v>
      </c>
      <c r="H47" s="14">
        <v>46136.0</v>
      </c>
      <c r="I47" s="11">
        <v>7.0</v>
      </c>
    </row>
    <row r="48">
      <c r="A48" s="17" t="s">
        <v>20</v>
      </c>
      <c r="B48" s="10" t="s">
        <v>62</v>
      </c>
      <c r="C48" s="9">
        <v>40990.0</v>
      </c>
      <c r="D48" s="11">
        <v>22.0</v>
      </c>
      <c r="E48" s="11">
        <v>200.0</v>
      </c>
      <c r="F48" s="12">
        <v>4400.0</v>
      </c>
      <c r="G48" s="14">
        <v>46029.0</v>
      </c>
      <c r="H48" s="14">
        <v>46031.0</v>
      </c>
      <c r="I48" s="11">
        <v>2.0</v>
      </c>
    </row>
    <row r="49">
      <c r="A49" s="17" t="s">
        <v>20</v>
      </c>
      <c r="B49" s="10" t="s">
        <v>62</v>
      </c>
      <c r="C49" s="9">
        <v>41394.0</v>
      </c>
      <c r="D49" s="11">
        <v>22.3</v>
      </c>
      <c r="E49" s="11">
        <v>100.0</v>
      </c>
      <c r="F49" s="12">
        <v>2230.0</v>
      </c>
      <c r="G49" s="14">
        <v>46044.0</v>
      </c>
      <c r="H49" s="14">
        <v>46049.0</v>
      </c>
      <c r="I49" s="11">
        <v>5.0</v>
      </c>
    </row>
    <row r="50">
      <c r="A50" s="17" t="s">
        <v>20</v>
      </c>
      <c r="B50" s="10" t="s">
        <v>62</v>
      </c>
      <c r="C50" s="9">
        <v>41979.0</v>
      </c>
      <c r="D50" s="11">
        <v>22.3</v>
      </c>
      <c r="E50" s="11">
        <v>100.0</v>
      </c>
      <c r="F50" s="12">
        <v>2230.0</v>
      </c>
      <c r="G50" s="14">
        <v>46069.0</v>
      </c>
      <c r="H50" s="18">
        <v>46072.0</v>
      </c>
      <c r="I50" s="11">
        <v>3.0</v>
      </c>
    </row>
    <row r="51">
      <c r="A51" s="17" t="s">
        <v>20</v>
      </c>
      <c r="B51" s="10" t="s">
        <v>62</v>
      </c>
      <c r="C51" s="9">
        <v>44294.0</v>
      </c>
      <c r="D51" s="11">
        <v>22.31</v>
      </c>
      <c r="E51" s="11">
        <v>100.0</v>
      </c>
      <c r="F51" s="12">
        <v>2231.0</v>
      </c>
      <c r="G51" s="14">
        <v>46147.0</v>
      </c>
      <c r="H51" s="14">
        <v>46154.0</v>
      </c>
      <c r="I51" s="11">
        <v>7.0</v>
      </c>
    </row>
    <row r="52">
      <c r="A52" s="17" t="s">
        <v>20</v>
      </c>
      <c r="B52" s="10" t="s">
        <v>62</v>
      </c>
      <c r="C52" s="9">
        <v>44797.0</v>
      </c>
      <c r="D52" s="11">
        <v>22.31</v>
      </c>
      <c r="E52" s="11">
        <v>100.0</v>
      </c>
      <c r="F52" s="12">
        <v>2231.0</v>
      </c>
      <c r="G52" s="14">
        <v>46162.0</v>
      </c>
      <c r="H52" s="14">
        <v>46168.0</v>
      </c>
      <c r="I52" s="11">
        <v>6.0</v>
      </c>
    </row>
    <row r="53">
      <c r="A53" s="17" t="s">
        <v>13</v>
      </c>
      <c r="B53" s="10" t="s">
        <v>62</v>
      </c>
      <c r="C53" s="9">
        <v>40990.0</v>
      </c>
      <c r="D53" s="11">
        <v>185.0</v>
      </c>
      <c r="E53" s="11">
        <v>504.0</v>
      </c>
      <c r="F53" s="12">
        <v>93240.0</v>
      </c>
      <c r="G53" s="14">
        <v>46029.0</v>
      </c>
      <c r="H53" s="14">
        <v>46031.0</v>
      </c>
      <c r="I53" s="11">
        <v>2.0</v>
      </c>
    </row>
    <row r="54">
      <c r="A54" s="17" t="s">
        <v>13</v>
      </c>
      <c r="B54" s="10" t="s">
        <v>62</v>
      </c>
      <c r="C54" s="9">
        <v>41394.0</v>
      </c>
      <c r="D54" s="11">
        <v>198.8</v>
      </c>
      <c r="E54" s="11">
        <v>84.0</v>
      </c>
      <c r="F54" s="12">
        <v>16699.0</v>
      </c>
      <c r="G54" s="14">
        <v>46044.0</v>
      </c>
      <c r="H54" s="14">
        <v>46049.0</v>
      </c>
      <c r="I54" s="11">
        <v>5.0</v>
      </c>
    </row>
    <row r="55">
      <c r="A55" s="17" t="s">
        <v>13</v>
      </c>
      <c r="B55" s="10" t="s">
        <v>62</v>
      </c>
      <c r="C55" s="9">
        <v>41979.0</v>
      </c>
      <c r="D55" s="11">
        <v>205.95</v>
      </c>
      <c r="E55" s="11">
        <v>336.0</v>
      </c>
      <c r="F55" s="12">
        <v>69199.0</v>
      </c>
      <c r="G55" s="14">
        <v>46069.0</v>
      </c>
      <c r="H55" s="14">
        <v>46072.0</v>
      </c>
      <c r="I55" s="11">
        <v>3.0</v>
      </c>
    </row>
    <row r="56">
      <c r="A56" s="17" t="s">
        <v>13</v>
      </c>
      <c r="B56" s="10" t="s">
        <v>62</v>
      </c>
      <c r="C56" s="9">
        <v>42976.0</v>
      </c>
      <c r="D56" s="11">
        <v>219.04</v>
      </c>
      <c r="E56" s="11">
        <v>504.0</v>
      </c>
      <c r="F56" s="12">
        <v>110396.0</v>
      </c>
      <c r="G56" s="14">
        <v>46107.0</v>
      </c>
      <c r="H56" s="14">
        <v>46114.0</v>
      </c>
      <c r="I56" s="11">
        <v>7.0</v>
      </c>
    </row>
    <row r="57">
      <c r="A57" s="17" t="s">
        <v>13</v>
      </c>
      <c r="B57" s="10" t="s">
        <v>62</v>
      </c>
      <c r="C57" s="9">
        <v>45352.0</v>
      </c>
      <c r="D57" s="11">
        <v>215.47</v>
      </c>
      <c r="E57" s="11">
        <v>504.0</v>
      </c>
      <c r="F57" s="12">
        <v>108597.0</v>
      </c>
      <c r="G57" s="14">
        <v>46179.0</v>
      </c>
      <c r="H57" s="14">
        <v>46191.0</v>
      </c>
      <c r="I57" s="11">
        <v>12.0</v>
      </c>
    </row>
    <row r="58">
      <c r="A58" s="17" t="s">
        <v>13</v>
      </c>
      <c r="B58" s="10" t="s">
        <v>63</v>
      </c>
      <c r="C58" s="9">
        <v>43762.0</v>
      </c>
      <c r="D58" s="11">
        <v>216.67</v>
      </c>
      <c r="E58" s="11">
        <v>504.0</v>
      </c>
      <c r="F58" s="12">
        <v>109202.0</v>
      </c>
      <c r="G58" s="14">
        <v>46129.0</v>
      </c>
      <c r="H58" s="14">
        <v>46136.0</v>
      </c>
      <c r="I58" s="11">
        <v>7.0</v>
      </c>
    </row>
    <row r="59">
      <c r="A59" s="17" t="s">
        <v>12</v>
      </c>
      <c r="B59" s="10" t="s">
        <v>62</v>
      </c>
      <c r="C59" s="9">
        <v>40990.0</v>
      </c>
      <c r="D59" s="11">
        <v>105.0</v>
      </c>
      <c r="E59" s="19">
        <v>1200.0</v>
      </c>
      <c r="F59" s="12">
        <v>126000.0</v>
      </c>
      <c r="G59" s="14">
        <v>46029.0</v>
      </c>
      <c r="H59" s="14">
        <v>46031.0</v>
      </c>
      <c r="I59" s="11">
        <v>2.0</v>
      </c>
    </row>
    <row r="60">
      <c r="A60" s="17" t="s">
        <v>12</v>
      </c>
      <c r="B60" s="10" t="s">
        <v>62</v>
      </c>
      <c r="C60" s="9">
        <v>41394.0</v>
      </c>
      <c r="D60" s="11">
        <v>112.08</v>
      </c>
      <c r="E60" s="11">
        <v>600.0</v>
      </c>
      <c r="F60" s="12">
        <v>67248.0</v>
      </c>
      <c r="G60" s="14">
        <v>46044.0</v>
      </c>
      <c r="H60" s="14">
        <v>46049.0</v>
      </c>
      <c r="I60" s="11">
        <v>5.0</v>
      </c>
    </row>
    <row r="61">
      <c r="A61" s="17" t="s">
        <v>12</v>
      </c>
      <c r="B61" s="10" t="s">
        <v>62</v>
      </c>
      <c r="C61" s="9">
        <v>41979.0</v>
      </c>
      <c r="D61" s="11">
        <v>116.1</v>
      </c>
      <c r="E61" s="11">
        <v>900.0</v>
      </c>
      <c r="F61" s="12">
        <v>104490.0</v>
      </c>
      <c r="G61" s="14">
        <v>46069.0</v>
      </c>
      <c r="H61" s="14">
        <v>46072.0</v>
      </c>
      <c r="I61" s="11">
        <v>3.0</v>
      </c>
    </row>
    <row r="62">
      <c r="A62" s="17" t="s">
        <v>12</v>
      </c>
      <c r="B62" s="10" t="s">
        <v>62</v>
      </c>
      <c r="C62" s="9">
        <v>42976.0</v>
      </c>
      <c r="D62" s="11">
        <v>123.48</v>
      </c>
      <c r="E62" s="11">
        <v>900.0</v>
      </c>
      <c r="F62" s="12">
        <v>111132.0</v>
      </c>
      <c r="G62" s="14">
        <v>46107.0</v>
      </c>
      <c r="H62" s="14">
        <v>46114.0</v>
      </c>
      <c r="I62" s="11">
        <v>7.0</v>
      </c>
    </row>
    <row r="63">
      <c r="A63" s="17" t="s">
        <v>12</v>
      </c>
      <c r="B63" s="10" t="s">
        <v>62</v>
      </c>
      <c r="C63" s="9">
        <v>44294.0</v>
      </c>
      <c r="D63" s="11">
        <v>125.51</v>
      </c>
      <c r="E63" s="19">
        <v>1200.0</v>
      </c>
      <c r="F63" s="12">
        <v>150612.0</v>
      </c>
      <c r="G63" s="14">
        <v>46147.0</v>
      </c>
      <c r="H63" s="14">
        <v>46154.0</v>
      </c>
      <c r="I63" s="11">
        <v>7.0</v>
      </c>
    </row>
    <row r="64">
      <c r="A64" s="17" t="s">
        <v>12</v>
      </c>
      <c r="B64" s="10" t="s">
        <v>62</v>
      </c>
      <c r="C64" s="9">
        <v>44825.0</v>
      </c>
      <c r="D64" s="11">
        <v>123.48</v>
      </c>
      <c r="E64" s="11">
        <v>750.0</v>
      </c>
      <c r="F64" s="12">
        <v>92610.0</v>
      </c>
      <c r="G64" s="14">
        <v>46163.0</v>
      </c>
      <c r="H64" s="14">
        <v>46168.0</v>
      </c>
      <c r="I64" s="11">
        <v>5.0</v>
      </c>
    </row>
    <row r="65">
      <c r="A65" s="17" t="s">
        <v>12</v>
      </c>
      <c r="B65" s="10" t="s">
        <v>63</v>
      </c>
      <c r="C65" s="9">
        <v>43762.0</v>
      </c>
      <c r="D65" s="11">
        <v>121.33</v>
      </c>
      <c r="E65" s="11">
        <v>600.0</v>
      </c>
      <c r="F65" s="12">
        <v>72798.0</v>
      </c>
      <c r="G65" s="14">
        <v>46129.0</v>
      </c>
      <c r="H65" s="14">
        <v>46136.0</v>
      </c>
      <c r="I65" s="11">
        <v>7.0</v>
      </c>
    </row>
    <row r="66">
      <c r="A66" s="1" t="s">
        <v>11</v>
      </c>
      <c r="B66" s="1" t="s">
        <v>65</v>
      </c>
      <c r="C66" s="1">
        <v>46170.0</v>
      </c>
      <c r="D66" s="1">
        <v>139.4</v>
      </c>
      <c r="E66" s="1">
        <v>150.0</v>
      </c>
      <c r="F66" s="7">
        <f t="shared" ref="F66:F67" si="1">D66*E66</f>
        <v>20910</v>
      </c>
      <c r="G66" s="5">
        <v>46202.0</v>
      </c>
      <c r="H66" s="5">
        <v>46204.0</v>
      </c>
      <c r="I66" s="7">
        <f t="shared" ref="I66:I67" si="2">H66-G66</f>
        <v>2</v>
      </c>
    </row>
    <row r="67">
      <c r="A67" s="17" t="s">
        <v>16</v>
      </c>
      <c r="B67" s="1" t="s">
        <v>65</v>
      </c>
      <c r="C67" s="1">
        <v>46170.0</v>
      </c>
      <c r="D67" s="1">
        <v>17.55</v>
      </c>
      <c r="E67" s="1">
        <v>600.0</v>
      </c>
      <c r="F67" s="7">
        <f t="shared" si="1"/>
        <v>10530</v>
      </c>
      <c r="G67" s="5">
        <v>46202.0</v>
      </c>
      <c r="H67" s="5">
        <v>46204.0</v>
      </c>
      <c r="I67" s="7">
        <f t="shared" si="2"/>
        <v>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29"/>
  </cols>
  <sheetData>
    <row r="1">
      <c r="A1" s="1" t="s">
        <v>0</v>
      </c>
      <c r="B1" s="1" t="s">
        <v>2</v>
      </c>
      <c r="C1" s="1" t="s">
        <v>3</v>
      </c>
    </row>
    <row r="2">
      <c r="A2" s="3" t="s">
        <v>4</v>
      </c>
      <c r="B2" s="5">
        <v>46216.0</v>
      </c>
      <c r="C2" s="1">
        <v>153.97</v>
      </c>
    </row>
    <row r="3">
      <c r="A3" s="3" t="s">
        <v>11</v>
      </c>
      <c r="B3" s="5">
        <v>46216.0</v>
      </c>
      <c r="C3" s="1">
        <v>156.4</v>
      </c>
    </row>
    <row r="4">
      <c r="A4" s="3" t="s">
        <v>12</v>
      </c>
      <c r="B4" s="5">
        <v>46216.0</v>
      </c>
      <c r="C4" s="1">
        <v>118.12</v>
      </c>
    </row>
    <row r="5">
      <c r="A5" s="3" t="s">
        <v>13</v>
      </c>
      <c r="B5" s="5">
        <v>46216.0</v>
      </c>
      <c r="C5" s="1">
        <v>209.52</v>
      </c>
    </row>
    <row r="6">
      <c r="A6" s="3" t="s">
        <v>10</v>
      </c>
      <c r="B6" s="5">
        <v>46216.0</v>
      </c>
      <c r="C6" s="1">
        <v>23.34</v>
      </c>
    </row>
    <row r="7">
      <c r="A7" s="3" t="s">
        <v>14</v>
      </c>
      <c r="B7" s="5">
        <v>46216.0</v>
      </c>
      <c r="C7" s="1">
        <v>20.37</v>
      </c>
    </row>
    <row r="8">
      <c r="A8" s="3" t="s">
        <v>16</v>
      </c>
      <c r="B8" s="5">
        <v>46216.0</v>
      </c>
      <c r="C8" s="1">
        <v>21.11</v>
      </c>
    </row>
    <row r="9">
      <c r="A9" s="3" t="s">
        <v>17</v>
      </c>
      <c r="B9" s="5">
        <v>46216.0</v>
      </c>
      <c r="C9" s="7">
        <f t="shared" ref="C9:C10" si="1">557.59/25</f>
        <v>22.3036</v>
      </c>
    </row>
    <row r="10">
      <c r="A10" s="3" t="s">
        <v>20</v>
      </c>
      <c r="B10" s="5">
        <v>46216.0</v>
      </c>
      <c r="C10" s="7">
        <f t="shared" si="1"/>
        <v>22.3036</v>
      </c>
    </row>
    <row r="11">
      <c r="A11" s="3" t="s">
        <v>19</v>
      </c>
      <c r="B11" s="5">
        <v>46216.0</v>
      </c>
      <c r="C11" s="1">
        <f>402.67/10</f>
        <v>40.267</v>
      </c>
    </row>
    <row r="12">
      <c r="B12" s="5"/>
    </row>
  </sheetData>
  <drawing r:id="rId1"/>
</worksheet>
</file>